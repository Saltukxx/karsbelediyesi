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adim\Desktop\ASFALT ŞANTİYESİ YENİ OLUŞTURULAN\"/>
    </mc:Choice>
  </mc:AlternateContent>
  <bookViews>
    <workbookView xWindow="0" yWindow="0" windowWidth="22992" windowHeight="9156" tabRatio="500" activeTab="1"/>
  </bookViews>
  <sheets>
    <sheet name="🚜 Araç Havuzu" sheetId="1" r:id="rId1"/>
    <sheet name="📋 Görev Formu" sheetId="2" r:id="rId2"/>
    <sheet name="🕐 Çıkış-Giriş Takip" sheetId="3" r:id="rId3"/>
    <sheet name="📊 Müdürlük Özeti" sheetId="4" r:id="rId4"/>
    <sheet name="🟢 Durum Paneli" sheetId="5" r:id="rId5"/>
  </sheets>
  <calcPr calcId="162913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60" i="5" l="1"/>
  <c r="G59" i="5"/>
  <c r="E59" i="5"/>
  <c r="C59" i="5"/>
  <c r="A59" i="5"/>
  <c r="H54" i="5"/>
  <c r="G54" i="5"/>
  <c r="F54" i="5"/>
  <c r="E54" i="5"/>
  <c r="D54" i="5"/>
  <c r="C54" i="5"/>
  <c r="B54" i="5"/>
  <c r="A54" i="5"/>
  <c r="H53" i="5"/>
  <c r="G53" i="5"/>
  <c r="F53" i="5"/>
  <c r="E53" i="5"/>
  <c r="D53" i="5"/>
  <c r="C53" i="5"/>
  <c r="B53" i="5"/>
  <c r="A53" i="5"/>
  <c r="H52" i="5"/>
  <c r="G52" i="5"/>
  <c r="F52" i="5"/>
  <c r="E52" i="5"/>
  <c r="D52" i="5"/>
  <c r="C52" i="5"/>
  <c r="B52" i="5"/>
  <c r="A52" i="5"/>
  <c r="H51" i="5"/>
  <c r="G51" i="5"/>
  <c r="F51" i="5"/>
  <c r="E51" i="5"/>
  <c r="D51" i="5"/>
  <c r="C51" i="5"/>
  <c r="B51" i="5"/>
  <c r="A51" i="5"/>
  <c r="H50" i="5"/>
  <c r="G50" i="5"/>
  <c r="F50" i="5"/>
  <c r="E50" i="5"/>
  <c r="D50" i="5"/>
  <c r="C50" i="5"/>
  <c r="B50" i="5"/>
  <c r="A50" i="5"/>
  <c r="H49" i="5"/>
  <c r="G49" i="5"/>
  <c r="F49" i="5"/>
  <c r="E49" i="5"/>
  <c r="D49" i="5"/>
  <c r="C49" i="5"/>
  <c r="B49" i="5"/>
  <c r="A49" i="5"/>
  <c r="H48" i="5"/>
  <c r="G48" i="5"/>
  <c r="F48" i="5"/>
  <c r="E48" i="5"/>
  <c r="D48" i="5"/>
  <c r="C48" i="5"/>
  <c r="B48" i="5"/>
  <c r="A48" i="5"/>
  <c r="H47" i="5"/>
  <c r="G47" i="5"/>
  <c r="F47" i="5"/>
  <c r="E47" i="5"/>
  <c r="D47" i="5"/>
  <c r="C47" i="5"/>
  <c r="B47" i="5"/>
  <c r="A47" i="5"/>
  <c r="H46" i="5"/>
  <c r="G46" i="5"/>
  <c r="F46" i="5"/>
  <c r="E46" i="5"/>
  <c r="D46" i="5"/>
  <c r="C46" i="5"/>
  <c r="B46" i="5"/>
  <c r="A46" i="5"/>
  <c r="H45" i="5"/>
  <c r="G45" i="5"/>
  <c r="F45" i="5"/>
  <c r="E45" i="5"/>
  <c r="D45" i="5"/>
  <c r="C45" i="5"/>
  <c r="B45" i="5"/>
  <c r="A45" i="5"/>
  <c r="H44" i="5"/>
  <c r="G44" i="5"/>
  <c r="F44" i="5"/>
  <c r="E44" i="5"/>
  <c r="D44" i="5"/>
  <c r="C44" i="5"/>
  <c r="B44" i="5"/>
  <c r="A44" i="5"/>
  <c r="H43" i="5"/>
  <c r="G43" i="5"/>
  <c r="F43" i="5"/>
  <c r="E43" i="5"/>
  <c r="D43" i="5"/>
  <c r="C43" i="5"/>
  <c r="B43" i="5"/>
  <c r="A43" i="5"/>
  <c r="H42" i="5"/>
  <c r="G42" i="5"/>
  <c r="F42" i="5"/>
  <c r="E42" i="5"/>
  <c r="D42" i="5"/>
  <c r="C42" i="5"/>
  <c r="B42" i="5"/>
  <c r="A42" i="5"/>
  <c r="H41" i="5"/>
  <c r="G41" i="5"/>
  <c r="F41" i="5"/>
  <c r="E41" i="5"/>
  <c r="D41" i="5"/>
  <c r="C41" i="5"/>
  <c r="B41" i="5"/>
  <c r="A41" i="5"/>
  <c r="H40" i="5"/>
  <c r="G40" i="5"/>
  <c r="F40" i="5"/>
  <c r="E40" i="5"/>
  <c r="D40" i="5"/>
  <c r="C40" i="5"/>
  <c r="B40" i="5"/>
  <c r="A40" i="5"/>
  <c r="H39" i="5"/>
  <c r="G39" i="5"/>
  <c r="F39" i="5"/>
  <c r="E39" i="5"/>
  <c r="D39" i="5"/>
  <c r="C39" i="5"/>
  <c r="B39" i="5"/>
  <c r="A39" i="5"/>
  <c r="H38" i="5"/>
  <c r="G38" i="5"/>
  <c r="F38" i="5"/>
  <c r="E38" i="5"/>
  <c r="D38" i="5"/>
  <c r="C38" i="5"/>
  <c r="B38" i="5"/>
  <c r="A38" i="5"/>
  <c r="H37" i="5"/>
  <c r="G37" i="5"/>
  <c r="F37" i="5"/>
  <c r="E37" i="5"/>
  <c r="D37" i="5"/>
  <c r="C37" i="5"/>
  <c r="B37" i="5"/>
  <c r="A37" i="5"/>
  <c r="H36" i="5"/>
  <c r="G36" i="5"/>
  <c r="F36" i="5"/>
  <c r="E36" i="5"/>
  <c r="D36" i="5"/>
  <c r="C36" i="5"/>
  <c r="B36" i="5"/>
  <c r="A36" i="5"/>
  <c r="H35" i="5"/>
  <c r="G35" i="5"/>
  <c r="F35" i="5"/>
  <c r="E35" i="5"/>
  <c r="D35" i="5"/>
  <c r="C35" i="5"/>
  <c r="B35" i="5"/>
  <c r="A35" i="5"/>
  <c r="H34" i="5"/>
  <c r="G34" i="5"/>
  <c r="F34" i="5"/>
  <c r="E34" i="5"/>
  <c r="D34" i="5"/>
  <c r="C34" i="5"/>
  <c r="B34" i="5"/>
  <c r="A34" i="5"/>
  <c r="H33" i="5"/>
  <c r="G33" i="5"/>
  <c r="F33" i="5"/>
  <c r="E33" i="5"/>
  <c r="D33" i="5"/>
  <c r="C33" i="5"/>
  <c r="B33" i="5"/>
  <c r="A33" i="5"/>
  <c r="H32" i="5"/>
  <c r="G32" i="5"/>
  <c r="F32" i="5"/>
  <c r="E32" i="5"/>
  <c r="D32" i="5"/>
  <c r="C32" i="5"/>
  <c r="B32" i="5"/>
  <c r="A32" i="5"/>
  <c r="H31" i="5"/>
  <c r="G31" i="5"/>
  <c r="F31" i="5"/>
  <c r="E31" i="5"/>
  <c r="D31" i="5"/>
  <c r="C31" i="5"/>
  <c r="B31" i="5"/>
  <c r="A31" i="5"/>
  <c r="H30" i="5"/>
  <c r="G30" i="5"/>
  <c r="F30" i="5"/>
  <c r="E30" i="5"/>
  <c r="D30" i="5"/>
  <c r="C30" i="5"/>
  <c r="B30" i="5"/>
  <c r="A30" i="5"/>
  <c r="H29" i="5"/>
  <c r="G29" i="5"/>
  <c r="F29" i="5"/>
  <c r="E29" i="5"/>
  <c r="D29" i="5"/>
  <c r="C29" i="5"/>
  <c r="B29" i="5"/>
  <c r="A29" i="5"/>
  <c r="H28" i="5"/>
  <c r="G28" i="5"/>
  <c r="F28" i="5"/>
  <c r="E28" i="5"/>
  <c r="D28" i="5"/>
  <c r="C28" i="5"/>
  <c r="B28" i="5"/>
  <c r="A28" i="5"/>
  <c r="H27" i="5"/>
  <c r="G27" i="5"/>
  <c r="F27" i="5"/>
  <c r="E27" i="5"/>
  <c r="D27" i="5"/>
  <c r="C27" i="5"/>
  <c r="B27" i="5"/>
  <c r="A27" i="5"/>
  <c r="H26" i="5"/>
  <c r="G26" i="5"/>
  <c r="F26" i="5"/>
  <c r="E26" i="5"/>
  <c r="D26" i="5"/>
  <c r="C26" i="5"/>
  <c r="B26" i="5"/>
  <c r="A26" i="5"/>
  <c r="H25" i="5"/>
  <c r="G25" i="5"/>
  <c r="F25" i="5"/>
  <c r="E25" i="5"/>
  <c r="D25" i="5"/>
  <c r="C25" i="5"/>
  <c r="B25" i="5"/>
  <c r="A25" i="5"/>
  <c r="H24" i="5"/>
  <c r="G24" i="5"/>
  <c r="F24" i="5"/>
  <c r="E24" i="5"/>
  <c r="D24" i="5"/>
  <c r="C24" i="5"/>
  <c r="B24" i="5"/>
  <c r="A24" i="5"/>
  <c r="H23" i="5"/>
  <c r="G23" i="5"/>
  <c r="F23" i="5"/>
  <c r="E23" i="5"/>
  <c r="D23" i="5"/>
  <c r="C23" i="5"/>
  <c r="B23" i="5"/>
  <c r="A23" i="5"/>
  <c r="H22" i="5"/>
  <c r="G22" i="5"/>
  <c r="F22" i="5"/>
  <c r="E22" i="5"/>
  <c r="D22" i="5"/>
  <c r="C22" i="5"/>
  <c r="B22" i="5"/>
  <c r="A22" i="5"/>
  <c r="H21" i="5"/>
  <c r="G21" i="5"/>
  <c r="F21" i="5"/>
  <c r="E21" i="5"/>
  <c r="D21" i="5"/>
  <c r="C21" i="5"/>
  <c r="B21" i="5"/>
  <c r="A21" i="5"/>
  <c r="H20" i="5"/>
  <c r="G20" i="5"/>
  <c r="F20" i="5"/>
  <c r="E20" i="5"/>
  <c r="D20" i="5"/>
  <c r="C20" i="5"/>
  <c r="B20" i="5"/>
  <c r="A20" i="5"/>
  <c r="H19" i="5"/>
  <c r="G19" i="5"/>
  <c r="F19" i="5"/>
  <c r="E19" i="5"/>
  <c r="D19" i="5"/>
  <c r="C19" i="5"/>
  <c r="B19" i="5"/>
  <c r="A19" i="5"/>
  <c r="H18" i="5"/>
  <c r="G18" i="5"/>
  <c r="F18" i="5"/>
  <c r="E18" i="5"/>
  <c r="D18" i="5"/>
  <c r="C18" i="5"/>
  <c r="B18" i="5"/>
  <c r="A18" i="5"/>
  <c r="H17" i="5"/>
  <c r="G17" i="5"/>
  <c r="F17" i="5"/>
  <c r="E17" i="5"/>
  <c r="D17" i="5"/>
  <c r="C17" i="5"/>
  <c r="B17" i="5"/>
  <c r="A17" i="5"/>
  <c r="H16" i="5"/>
  <c r="G16" i="5"/>
  <c r="F16" i="5"/>
  <c r="E16" i="5"/>
  <c r="D16" i="5"/>
  <c r="C16" i="5"/>
  <c r="B16" i="5"/>
  <c r="A16" i="5"/>
  <c r="H15" i="5"/>
  <c r="G15" i="5"/>
  <c r="F15" i="5"/>
  <c r="E15" i="5"/>
  <c r="D15" i="5"/>
  <c r="C15" i="5"/>
  <c r="B15" i="5"/>
  <c r="A15" i="5"/>
  <c r="H14" i="5"/>
  <c r="G14" i="5"/>
  <c r="F14" i="5"/>
  <c r="E14" i="5"/>
  <c r="D14" i="5"/>
  <c r="C14" i="5"/>
  <c r="B14" i="5"/>
  <c r="A14" i="5"/>
  <c r="H13" i="5"/>
  <c r="G13" i="5"/>
  <c r="F13" i="5"/>
  <c r="E13" i="5"/>
  <c r="D13" i="5"/>
  <c r="C13" i="5"/>
  <c r="B13" i="5"/>
  <c r="A13" i="5"/>
  <c r="H12" i="5"/>
  <c r="G12" i="5"/>
  <c r="F12" i="5"/>
  <c r="E12" i="5"/>
  <c r="D12" i="5"/>
  <c r="C12" i="5"/>
  <c r="B12" i="5"/>
  <c r="A12" i="5"/>
  <c r="H11" i="5"/>
  <c r="G11" i="5"/>
  <c r="F11" i="5"/>
  <c r="E11" i="5"/>
  <c r="D11" i="5"/>
  <c r="C11" i="5"/>
  <c r="B11" i="5"/>
  <c r="A11" i="5"/>
  <c r="H10" i="5"/>
  <c r="G10" i="5"/>
  <c r="F10" i="5"/>
  <c r="E10" i="5"/>
  <c r="D10" i="5"/>
  <c r="C10" i="5"/>
  <c r="B10" i="5"/>
  <c r="A10" i="5"/>
  <c r="H9" i="5"/>
  <c r="G9" i="5"/>
  <c r="F9" i="5"/>
  <c r="E9" i="5"/>
  <c r="D9" i="5"/>
  <c r="C9" i="5"/>
  <c r="B9" i="5"/>
  <c r="A9" i="5"/>
  <c r="H8" i="5"/>
  <c r="G8" i="5"/>
  <c r="F8" i="5"/>
  <c r="E8" i="5"/>
  <c r="D8" i="5"/>
  <c r="C8" i="5"/>
  <c r="B8" i="5"/>
  <c r="A8" i="5"/>
  <c r="H7" i="5"/>
  <c r="G7" i="5"/>
  <c r="F7" i="5"/>
  <c r="E7" i="5"/>
  <c r="D7" i="5"/>
  <c r="C7" i="5"/>
  <c r="B7" i="5"/>
  <c r="A7" i="5"/>
  <c r="H6" i="5"/>
  <c r="G6" i="5"/>
  <c r="F6" i="5"/>
  <c r="E6" i="5"/>
  <c r="D6" i="5"/>
  <c r="C6" i="5"/>
  <c r="B6" i="5"/>
  <c r="A6" i="5"/>
  <c r="G5" i="5"/>
  <c r="F5" i="5"/>
  <c r="E5" i="5"/>
  <c r="D5" i="5"/>
  <c r="C5" i="5"/>
  <c r="B5" i="5"/>
  <c r="A5" i="5"/>
  <c r="A3" i="5"/>
  <c r="L13" i="4"/>
  <c r="W12" i="4" s="1"/>
  <c r="A3" i="1"/>
  <c r="D20" i="2" s="1"/>
  <c r="G5" i="4"/>
  <c r="R5" i="4" s="1"/>
  <c r="G6" i="4"/>
  <c r="R6" i="4" s="1"/>
  <c r="G7" i="4"/>
  <c r="R7" i="4" s="1"/>
  <c r="G8" i="4"/>
  <c r="R8" i="4" s="1"/>
  <c r="G9" i="4"/>
  <c r="R9" i="4" s="1"/>
  <c r="G10" i="4"/>
  <c r="R10" i="4" s="1"/>
  <c r="G11" i="4"/>
  <c r="R11" i="4" s="1"/>
  <c r="G12" i="4"/>
  <c r="R12" i="4" s="1"/>
  <c r="F5" i="4"/>
  <c r="F6" i="4"/>
  <c r="F7" i="4"/>
  <c r="F8" i="4"/>
  <c r="F9" i="4"/>
  <c r="F10" i="4"/>
  <c r="F11" i="4"/>
  <c r="F12" i="4"/>
  <c r="E5" i="4"/>
  <c r="E6" i="4"/>
  <c r="E7" i="4"/>
  <c r="E8" i="4"/>
  <c r="E9" i="4"/>
  <c r="E10" i="4"/>
  <c r="E11" i="4"/>
  <c r="E12" i="4"/>
  <c r="D5" i="4"/>
  <c r="D6" i="4"/>
  <c r="D7" i="4"/>
  <c r="Q7" i="4" s="1"/>
  <c r="D8" i="4"/>
  <c r="D9" i="4"/>
  <c r="D10" i="4"/>
  <c r="D11" i="4"/>
  <c r="D12" i="4"/>
  <c r="C5" i="4"/>
  <c r="C6" i="4"/>
  <c r="P6" i="4" s="1"/>
  <c r="C7" i="4"/>
  <c r="P7" i="4" s="1"/>
  <c r="C8" i="4"/>
  <c r="P8" i="4" s="1"/>
  <c r="C9" i="4"/>
  <c r="P9" i="4" s="1"/>
  <c r="C10" i="4"/>
  <c r="P10" i="4" s="1"/>
  <c r="C11" i="4"/>
  <c r="P11" i="4" s="1"/>
  <c r="C12" i="4"/>
  <c r="P12" i="4" s="1"/>
  <c r="B5" i="4"/>
  <c r="O5" i="4" s="1"/>
  <c r="B6" i="4"/>
  <c r="O6" i="4" s="1"/>
  <c r="B7" i="4"/>
  <c r="O7" i="4" s="1"/>
  <c r="B8" i="4"/>
  <c r="O8" i="4" s="1"/>
  <c r="B9" i="4"/>
  <c r="O9" i="4" s="1"/>
  <c r="B10" i="4"/>
  <c r="O10" i="4" s="1"/>
  <c r="B11" i="4"/>
  <c r="O11" i="4" s="1"/>
  <c r="B12" i="4"/>
  <c r="O12" i="4" s="1"/>
  <c r="T12" i="4"/>
  <c r="Q12" i="4"/>
  <c r="L12" i="4"/>
  <c r="W11" i="4" s="1"/>
  <c r="T11" i="4"/>
  <c r="Q11" i="4"/>
  <c r="L11" i="4"/>
  <c r="W10" i="4" s="1"/>
  <c r="T10" i="4"/>
  <c r="Q10" i="4"/>
  <c r="L10" i="4"/>
  <c r="W9" i="4" s="1"/>
  <c r="T9" i="4"/>
  <c r="Q9" i="4"/>
  <c r="L9" i="4"/>
  <c r="W8" i="4" s="1"/>
  <c r="Z8" i="4"/>
  <c r="T8" i="4"/>
  <c r="Q8" i="4"/>
  <c r="L8" i="4"/>
  <c r="W7" i="4" s="1"/>
  <c r="Z7" i="4"/>
  <c r="T7" i="4"/>
  <c r="L7" i="4"/>
  <c r="W6" i="4" s="1"/>
  <c r="Z6" i="4"/>
  <c r="T6" i="4"/>
  <c r="Q6" i="4"/>
  <c r="L6" i="4"/>
  <c r="W5" i="4" s="1"/>
  <c r="Z5" i="4"/>
  <c r="T5" i="4"/>
  <c r="Q5" i="4"/>
  <c r="A3" i="4"/>
  <c r="L104" i="3"/>
  <c r="I104" i="3"/>
  <c r="L103" i="3"/>
  <c r="I103" i="3"/>
  <c r="L102" i="3"/>
  <c r="I102" i="3"/>
  <c r="L101" i="3"/>
  <c r="I101" i="3"/>
  <c r="L100" i="3"/>
  <c r="I100" i="3"/>
  <c r="L99" i="3"/>
  <c r="I99" i="3"/>
  <c r="L98" i="3"/>
  <c r="I98" i="3"/>
  <c r="L97" i="3"/>
  <c r="I97" i="3"/>
  <c r="L96" i="3"/>
  <c r="I96" i="3"/>
  <c r="L95" i="3"/>
  <c r="I95" i="3"/>
  <c r="L94" i="3"/>
  <c r="I94" i="3"/>
  <c r="L93" i="3"/>
  <c r="I93" i="3"/>
  <c r="L92" i="3"/>
  <c r="I92" i="3"/>
  <c r="L91" i="3"/>
  <c r="I91" i="3"/>
  <c r="L90" i="3"/>
  <c r="I90" i="3"/>
  <c r="L89" i="3"/>
  <c r="I89" i="3"/>
  <c r="L88" i="3"/>
  <c r="I88" i="3"/>
  <c r="L87" i="3"/>
  <c r="I87" i="3"/>
  <c r="L86" i="3"/>
  <c r="I86" i="3"/>
  <c r="L85" i="3"/>
  <c r="I85" i="3"/>
  <c r="L84" i="3"/>
  <c r="I84" i="3"/>
  <c r="L83" i="3"/>
  <c r="I83" i="3"/>
  <c r="L82" i="3"/>
  <c r="I82" i="3"/>
  <c r="L81" i="3"/>
  <c r="I81" i="3"/>
  <c r="L80" i="3"/>
  <c r="I80" i="3"/>
  <c r="L79" i="3"/>
  <c r="I79" i="3"/>
  <c r="L78" i="3"/>
  <c r="I78" i="3"/>
  <c r="L77" i="3"/>
  <c r="I77" i="3"/>
  <c r="L76" i="3"/>
  <c r="I76" i="3"/>
  <c r="L75" i="3"/>
  <c r="I75" i="3"/>
  <c r="L74" i="3"/>
  <c r="I74" i="3"/>
  <c r="L73" i="3"/>
  <c r="I73" i="3"/>
  <c r="L72" i="3"/>
  <c r="I72" i="3"/>
  <c r="L71" i="3"/>
  <c r="I71" i="3"/>
  <c r="L70" i="3"/>
  <c r="I70" i="3"/>
  <c r="L69" i="3"/>
  <c r="I69" i="3"/>
  <c r="L68" i="3"/>
  <c r="I68" i="3"/>
  <c r="L67" i="3"/>
  <c r="I67" i="3"/>
  <c r="L66" i="3"/>
  <c r="I66" i="3"/>
  <c r="L65" i="3"/>
  <c r="I65" i="3"/>
  <c r="L64" i="3"/>
  <c r="I64" i="3"/>
  <c r="L63" i="3"/>
  <c r="I63" i="3"/>
  <c r="L62" i="3"/>
  <c r="I62" i="3"/>
  <c r="L61" i="3"/>
  <c r="I61" i="3"/>
  <c r="L60" i="3"/>
  <c r="I60" i="3"/>
  <c r="L59" i="3"/>
  <c r="I59" i="3"/>
  <c r="L58" i="3"/>
  <c r="I58" i="3"/>
  <c r="L57" i="3"/>
  <c r="I57" i="3"/>
  <c r="L56" i="3"/>
  <c r="I56" i="3"/>
  <c r="L55" i="3"/>
  <c r="I55" i="3"/>
  <c r="L54" i="3"/>
  <c r="I54" i="3"/>
  <c r="L53" i="3"/>
  <c r="I53" i="3"/>
  <c r="L52" i="3"/>
  <c r="I52" i="3"/>
  <c r="L51" i="3"/>
  <c r="I51" i="3"/>
  <c r="L50" i="3"/>
  <c r="I50" i="3"/>
  <c r="L49" i="3"/>
  <c r="I49" i="3"/>
  <c r="L48" i="3"/>
  <c r="I48" i="3"/>
  <c r="L47" i="3"/>
  <c r="I47" i="3"/>
  <c r="L46" i="3"/>
  <c r="I46" i="3"/>
  <c r="L45" i="3"/>
  <c r="I45" i="3"/>
  <c r="L44" i="3"/>
  <c r="I44" i="3"/>
  <c r="L43" i="3"/>
  <c r="I43" i="3"/>
  <c r="L42" i="3"/>
  <c r="I42" i="3"/>
  <c r="L41" i="3"/>
  <c r="I41" i="3"/>
  <c r="L40" i="3"/>
  <c r="I40" i="3"/>
  <c r="L39" i="3"/>
  <c r="I39" i="3"/>
  <c r="L38" i="3"/>
  <c r="I38" i="3"/>
  <c r="L37" i="3"/>
  <c r="I37" i="3"/>
  <c r="L36" i="3"/>
  <c r="I36" i="3"/>
  <c r="L35" i="3"/>
  <c r="I35" i="3"/>
  <c r="L34" i="3"/>
  <c r="I34" i="3"/>
  <c r="L33" i="3"/>
  <c r="I33" i="3"/>
  <c r="L32" i="3"/>
  <c r="I32" i="3"/>
  <c r="L31" i="3"/>
  <c r="I31" i="3"/>
  <c r="L30" i="3"/>
  <c r="I30" i="3"/>
  <c r="L29" i="3"/>
  <c r="I29" i="3"/>
  <c r="L28" i="3"/>
  <c r="I28" i="3"/>
  <c r="L27" i="3"/>
  <c r="I27" i="3"/>
  <c r="L26" i="3"/>
  <c r="I26" i="3"/>
  <c r="L25" i="3"/>
  <c r="I25" i="3"/>
  <c r="L24" i="3"/>
  <c r="I24" i="3"/>
  <c r="L23" i="3"/>
  <c r="I23" i="3"/>
  <c r="L22" i="3"/>
  <c r="I22" i="3"/>
  <c r="L21" i="3"/>
  <c r="I21" i="3"/>
  <c r="L20" i="3"/>
  <c r="I20" i="3"/>
  <c r="L19" i="3"/>
  <c r="I19" i="3"/>
  <c r="L18" i="3"/>
  <c r="I18" i="3"/>
  <c r="L17" i="3"/>
  <c r="I17" i="3"/>
  <c r="L16" i="3"/>
  <c r="I16" i="3"/>
  <c r="L15" i="3"/>
  <c r="I15" i="3"/>
  <c r="L14" i="3"/>
  <c r="I14" i="3"/>
  <c r="L13" i="3"/>
  <c r="I13" i="3"/>
  <c r="L12" i="3"/>
  <c r="I12" i="3"/>
  <c r="L11" i="3"/>
  <c r="I11" i="3"/>
  <c r="L10" i="3"/>
  <c r="I10" i="3"/>
  <c r="L9" i="3"/>
  <c r="I9" i="3"/>
  <c r="L8" i="3"/>
  <c r="I8" i="3"/>
  <c r="L7" i="3"/>
  <c r="I7" i="3"/>
  <c r="L6" i="3"/>
  <c r="I6" i="3"/>
  <c r="L5" i="3"/>
  <c r="I5" i="3"/>
  <c r="A3" i="3"/>
  <c r="A3" i="2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E13" i="4" l="1"/>
  <c r="D13" i="4"/>
  <c r="F13" i="4"/>
  <c r="G13" i="4"/>
  <c r="C13" i="4"/>
  <c r="P5" i="4"/>
  <c r="B13" i="4"/>
  <c r="M101" i="2"/>
  <c r="M102" i="2"/>
  <c r="C38" i="3"/>
  <c r="M12" i="2"/>
  <c r="C31" i="3"/>
  <c r="M20" i="2"/>
  <c r="C28" i="3"/>
  <c r="C94" i="3"/>
  <c r="M53" i="2"/>
  <c r="M22" i="2"/>
  <c r="M54" i="2"/>
  <c r="C14" i="3"/>
  <c r="C68" i="3"/>
  <c r="M66" i="2"/>
  <c r="C7" i="3"/>
  <c r="D90" i="2"/>
  <c r="D18" i="2"/>
  <c r="M23" i="2"/>
  <c r="M69" i="2"/>
  <c r="C52" i="3"/>
  <c r="C55" i="3"/>
  <c r="C62" i="3"/>
  <c r="C80" i="3"/>
  <c r="D74" i="2"/>
  <c r="M34" i="2"/>
  <c r="M70" i="2"/>
  <c r="C12" i="3"/>
  <c r="C15" i="3"/>
  <c r="C22" i="3"/>
  <c r="C84" i="3"/>
  <c r="D67" i="2"/>
  <c r="M37" i="2"/>
  <c r="M82" i="2"/>
  <c r="C36" i="3"/>
  <c r="C39" i="3"/>
  <c r="C46" i="3"/>
  <c r="D66" i="2"/>
  <c r="D84" i="2"/>
  <c r="M6" i="2"/>
  <c r="M38" i="2"/>
  <c r="M85" i="2"/>
  <c r="C6" i="3"/>
  <c r="C60" i="3"/>
  <c r="C63" i="3"/>
  <c r="C78" i="3"/>
  <c r="C96" i="3"/>
  <c r="D50" i="2"/>
  <c r="M10" i="2"/>
  <c r="M50" i="2"/>
  <c r="M86" i="2"/>
  <c r="C20" i="3"/>
  <c r="C23" i="3"/>
  <c r="C30" i="3"/>
  <c r="C100" i="3"/>
  <c r="D43" i="2"/>
  <c r="M98" i="2"/>
  <c r="C44" i="3"/>
  <c r="C47" i="3"/>
  <c r="C54" i="3"/>
  <c r="D92" i="2"/>
  <c r="D26" i="2"/>
  <c r="M42" i="2"/>
  <c r="M74" i="2"/>
  <c r="M90" i="2"/>
  <c r="C10" i="3"/>
  <c r="C18" i="3"/>
  <c r="C26" i="3"/>
  <c r="C34" i="3"/>
  <c r="C42" i="3"/>
  <c r="C50" i="3"/>
  <c r="C58" i="3"/>
  <c r="C66" i="3"/>
  <c r="C72" i="3"/>
  <c r="C88" i="3"/>
  <c r="C104" i="3"/>
  <c r="D83" i="2"/>
  <c r="D60" i="2"/>
  <c r="D36" i="2"/>
  <c r="M26" i="2"/>
  <c r="M58" i="2"/>
  <c r="M14" i="2"/>
  <c r="M28" i="2"/>
  <c r="M44" i="2"/>
  <c r="M60" i="2"/>
  <c r="M76" i="2"/>
  <c r="M92" i="2"/>
  <c r="C5" i="3"/>
  <c r="C13" i="3"/>
  <c r="C21" i="3"/>
  <c r="C29" i="3"/>
  <c r="C37" i="3"/>
  <c r="C45" i="3"/>
  <c r="C53" i="3"/>
  <c r="C61" i="3"/>
  <c r="C82" i="3"/>
  <c r="C98" i="3"/>
  <c r="D100" i="2"/>
  <c r="D82" i="2"/>
  <c r="D59" i="2"/>
  <c r="D35" i="2"/>
  <c r="D42" i="2"/>
  <c r="M13" i="2"/>
  <c r="M15" i="2"/>
  <c r="M29" i="2"/>
  <c r="M45" i="2"/>
  <c r="M61" i="2"/>
  <c r="M93" i="2"/>
  <c r="C8" i="3"/>
  <c r="C16" i="3"/>
  <c r="C24" i="3"/>
  <c r="C32" i="3"/>
  <c r="C40" i="3"/>
  <c r="C48" i="3"/>
  <c r="C56" i="3"/>
  <c r="C64" i="3"/>
  <c r="C76" i="3"/>
  <c r="C92" i="3"/>
  <c r="D99" i="2"/>
  <c r="D76" i="2"/>
  <c r="D58" i="2"/>
  <c r="D34" i="2"/>
  <c r="M5" i="2"/>
  <c r="M18" i="2"/>
  <c r="M30" i="2"/>
  <c r="M46" i="2"/>
  <c r="M62" i="2"/>
  <c r="M94" i="2"/>
  <c r="C11" i="3"/>
  <c r="C19" i="3"/>
  <c r="C27" i="3"/>
  <c r="C35" i="3"/>
  <c r="C43" i="3"/>
  <c r="C51" i="3"/>
  <c r="C59" i="3"/>
  <c r="C67" i="3"/>
  <c r="C70" i="3"/>
  <c r="C86" i="3"/>
  <c r="C102" i="3"/>
  <c r="D98" i="2"/>
  <c r="D75" i="2"/>
  <c r="D52" i="2"/>
  <c r="D27" i="2"/>
  <c r="M7" i="2"/>
  <c r="M21" i="2"/>
  <c r="M36" i="2"/>
  <c r="M52" i="2"/>
  <c r="M68" i="2"/>
  <c r="M84" i="2"/>
  <c r="M100" i="2"/>
  <c r="C9" i="3"/>
  <c r="C17" i="3"/>
  <c r="C25" i="3"/>
  <c r="C33" i="3"/>
  <c r="C41" i="3"/>
  <c r="C49" i="3"/>
  <c r="C57" i="3"/>
  <c r="C65" i="3"/>
  <c r="C74" i="3"/>
  <c r="C90" i="3"/>
  <c r="D91" i="2"/>
  <c r="D68" i="2"/>
  <c r="D44" i="2"/>
  <c r="D5" i="2"/>
  <c r="D8" i="2"/>
  <c r="D21" i="2"/>
  <c r="D29" i="2"/>
  <c r="D37" i="2"/>
  <c r="D45" i="2"/>
  <c r="D53" i="2"/>
  <c r="D61" i="2"/>
  <c r="D69" i="2"/>
  <c r="D85" i="2"/>
  <c r="D93" i="2"/>
  <c r="D101" i="2"/>
  <c r="D103" i="3"/>
  <c r="D101" i="3"/>
  <c r="D99" i="3"/>
  <c r="D97" i="3"/>
  <c r="D95" i="3"/>
  <c r="D93" i="3"/>
  <c r="D91" i="3"/>
  <c r="D89" i="3"/>
  <c r="D87" i="3"/>
  <c r="D85" i="3"/>
  <c r="D83" i="3"/>
  <c r="D81" i="3"/>
  <c r="D79" i="3"/>
  <c r="D77" i="3"/>
  <c r="D75" i="3"/>
  <c r="D73" i="3"/>
  <c r="D71" i="3"/>
  <c r="D69" i="3"/>
  <c r="D67" i="3"/>
  <c r="D65" i="3"/>
  <c r="D63" i="3"/>
  <c r="D61" i="3"/>
  <c r="D59" i="3"/>
  <c r="D57" i="3"/>
  <c r="D55" i="3"/>
  <c r="D53" i="3"/>
  <c r="D51" i="3"/>
  <c r="D49" i="3"/>
  <c r="D47" i="3"/>
  <c r="D45" i="3"/>
  <c r="D43" i="3"/>
  <c r="D41" i="3"/>
  <c r="D39" i="3"/>
  <c r="D37" i="3"/>
  <c r="D35" i="3"/>
  <c r="D33" i="3"/>
  <c r="D31" i="3"/>
  <c r="D29" i="3"/>
  <c r="D27" i="3"/>
  <c r="D25" i="3"/>
  <c r="D23" i="3"/>
  <c r="D21" i="3"/>
  <c r="D19" i="3"/>
  <c r="D17" i="3"/>
  <c r="D15" i="3"/>
  <c r="D13" i="3"/>
  <c r="D11" i="3"/>
  <c r="D9" i="3"/>
  <c r="D7" i="3"/>
  <c r="D5" i="3"/>
  <c r="M99" i="2"/>
  <c r="M91" i="2"/>
  <c r="M83" i="2"/>
  <c r="M75" i="2"/>
  <c r="M67" i="2"/>
  <c r="M59" i="2"/>
  <c r="M51" i="2"/>
  <c r="M43" i="2"/>
  <c r="M35" i="2"/>
  <c r="M27" i="2"/>
  <c r="M19" i="2"/>
  <c r="M11" i="2"/>
  <c r="D94" i="2"/>
  <c r="C103" i="3"/>
  <c r="C101" i="3"/>
  <c r="C99" i="3"/>
  <c r="C95" i="3"/>
  <c r="C91" i="3"/>
  <c r="C87" i="3"/>
  <c r="C83" i="3"/>
  <c r="C79" i="3"/>
  <c r="C75" i="3"/>
  <c r="C71" i="3"/>
  <c r="D14" i="2"/>
  <c r="D22" i="2"/>
  <c r="D30" i="2"/>
  <c r="D38" i="2"/>
  <c r="D46" i="2"/>
  <c r="D54" i="2"/>
  <c r="D62" i="2"/>
  <c r="D70" i="2"/>
  <c r="D86" i="2"/>
  <c r="D102" i="2"/>
  <c r="C97" i="3"/>
  <c r="C93" i="3"/>
  <c r="C89" i="3"/>
  <c r="C85" i="3"/>
  <c r="C81" i="3"/>
  <c r="C77" i="3"/>
  <c r="C73" i="3"/>
  <c r="C69" i="3"/>
  <c r="D15" i="2"/>
  <c r="D23" i="2"/>
  <c r="D31" i="2"/>
  <c r="D39" i="2"/>
  <c r="D47" i="2"/>
  <c r="D55" i="2"/>
  <c r="D63" i="2"/>
  <c r="D71" i="2"/>
  <c r="D79" i="2"/>
  <c r="D87" i="2"/>
  <c r="D95" i="2"/>
  <c r="D103" i="2"/>
  <c r="M97" i="2"/>
  <c r="M89" i="2"/>
  <c r="M81" i="2"/>
  <c r="M73" i="2"/>
  <c r="M65" i="2"/>
  <c r="M57" i="2"/>
  <c r="M49" i="2"/>
  <c r="M41" i="2"/>
  <c r="M33" i="2"/>
  <c r="M25" i="2"/>
  <c r="M17" i="2"/>
  <c r="M9" i="2"/>
  <c r="D16" i="2"/>
  <c r="D24" i="2"/>
  <c r="D32" i="2"/>
  <c r="D40" i="2"/>
  <c r="D48" i="2"/>
  <c r="D56" i="2"/>
  <c r="D64" i="2"/>
  <c r="D72" i="2"/>
  <c r="D80" i="2"/>
  <c r="D88" i="2"/>
  <c r="D96" i="2"/>
  <c r="D104" i="2"/>
  <c r="M104" i="2"/>
  <c r="M96" i="2"/>
  <c r="M88" i="2"/>
  <c r="M80" i="2"/>
  <c r="M72" i="2"/>
  <c r="M64" i="2"/>
  <c r="M56" i="2"/>
  <c r="M48" i="2"/>
  <c r="M40" i="2"/>
  <c r="M32" i="2"/>
  <c r="M24" i="2"/>
  <c r="M16" i="2"/>
  <c r="M8" i="2"/>
  <c r="D46" i="3"/>
  <c r="D38" i="3"/>
  <c r="D34" i="3"/>
  <c r="D32" i="3"/>
  <c r="D28" i="3"/>
  <c r="D24" i="3"/>
  <c r="D20" i="3"/>
  <c r="D16" i="3"/>
  <c r="D12" i="3"/>
  <c r="D8" i="3"/>
  <c r="D6" i="3"/>
  <c r="M95" i="2"/>
  <c r="M79" i="2"/>
  <c r="M71" i="2"/>
  <c r="M55" i="2"/>
  <c r="M39" i="2"/>
  <c r="D17" i="2"/>
  <c r="D25" i="2"/>
  <c r="D33" i="2"/>
  <c r="D41" i="2"/>
  <c r="D49" i="2"/>
  <c r="D57" i="2"/>
  <c r="D65" i="2"/>
  <c r="D73" i="2"/>
  <c r="D81" i="2"/>
  <c r="D89" i="2"/>
  <c r="D97" i="2"/>
  <c r="D104" i="3"/>
  <c r="D102" i="3"/>
  <c r="D100" i="3"/>
  <c r="D98" i="3"/>
  <c r="D96" i="3"/>
  <c r="D94" i="3"/>
  <c r="D92" i="3"/>
  <c r="D90" i="3"/>
  <c r="D88" i="3"/>
  <c r="D86" i="3"/>
  <c r="D84" i="3"/>
  <c r="D82" i="3"/>
  <c r="D80" i="3"/>
  <c r="D78" i="3"/>
  <c r="D76" i="3"/>
  <c r="D74" i="3"/>
  <c r="D72" i="3"/>
  <c r="D70" i="3"/>
  <c r="D68" i="3"/>
  <c r="D66" i="3"/>
  <c r="D64" i="3"/>
  <c r="D62" i="3"/>
  <c r="D60" i="3"/>
  <c r="D58" i="3"/>
  <c r="D56" i="3"/>
  <c r="D54" i="3"/>
  <c r="D52" i="3"/>
  <c r="D50" i="3"/>
  <c r="D48" i="3"/>
  <c r="D44" i="3"/>
  <c r="D42" i="3"/>
  <c r="D40" i="3"/>
  <c r="D36" i="3"/>
  <c r="D30" i="3"/>
  <c r="D26" i="3"/>
  <c r="D22" i="3"/>
  <c r="D18" i="3"/>
  <c r="D14" i="3"/>
  <c r="D10" i="3"/>
  <c r="M103" i="2"/>
  <c r="M87" i="2"/>
  <c r="M63" i="2"/>
  <c r="M47" i="2"/>
  <c r="M31" i="2"/>
  <c r="D19" i="2"/>
  <c r="D51" i="2"/>
  <c r="D28" i="2"/>
  <c r="D13" i="2"/>
  <c r="D12" i="2"/>
  <c r="D11" i="2"/>
  <c r="D10" i="2"/>
  <c r="D9" i="2"/>
  <c r="D7" i="2"/>
  <c r="D6" i="2"/>
  <c r="K12" i="4" l="1"/>
  <c r="V11" i="4" s="1"/>
  <c r="J13" i="4"/>
  <c r="U12" i="4" s="1"/>
  <c r="K6" i="4"/>
  <c r="V5" i="4" s="1"/>
  <c r="J12" i="4"/>
  <c r="U11" i="4" s="1"/>
  <c r="J11" i="4"/>
  <c r="U10" i="4" s="1"/>
  <c r="J9" i="4"/>
  <c r="U8" i="4" s="1"/>
  <c r="K13" i="4"/>
  <c r="V12" i="4" s="1"/>
  <c r="J6" i="4"/>
  <c r="U5" i="4" s="1"/>
  <c r="J7" i="4"/>
  <c r="U6" i="4" s="1"/>
  <c r="J10" i="4"/>
  <c r="U9" i="4" s="1"/>
  <c r="K8" i="4"/>
  <c r="V7" i="4" s="1"/>
  <c r="J8" i="4"/>
  <c r="U7" i="4" s="1"/>
  <c r="K7" i="4"/>
  <c r="V6" i="4" s="1"/>
  <c r="K10" i="4"/>
  <c r="V9" i="4" s="1"/>
  <c r="K9" i="4"/>
  <c r="V8" i="4" s="1"/>
  <c r="K11" i="4"/>
  <c r="V10" i="4" s="1"/>
</calcChain>
</file>

<file path=xl/sharedStrings.xml><?xml version="1.0" encoding="utf-8"?>
<sst xmlns="http://schemas.openxmlformats.org/spreadsheetml/2006/main" count="125" uniqueCount="113">
  <si>
    <t>🏛️  KARS BELEDİYESİ — ARAÇ HAVUZU YÖNETİM SİSTEMİ</t>
  </si>
  <si>
    <t>↓  Araç eklemek için son satırın altına devam edin  |  Durum açılır listeden seçilir</t>
  </si>
  <si>
    <t>ARAÇ NO
(Plaka)</t>
  </si>
  <si>
    <t>CİNSİ</t>
  </si>
  <si>
    <t>MARKA/MODEL</t>
  </si>
  <si>
    <t>YAKIT
TİPİ</t>
  </si>
  <si>
    <t>KAPASİTE</t>
  </si>
  <si>
    <t>YILI</t>
  </si>
  <si>
    <t>MUAYENE
TARİHİ</t>
  </si>
  <si>
    <t>SİGORTA
BİTİŞ</t>
  </si>
  <si>
    <t>BAKIM
KM/SAATİ</t>
  </si>
  <si>
    <t>MEVCUT
DURUM</t>
  </si>
  <si>
    <t>BAĞLI
MÜDÜRLÜK</t>
  </si>
  <si>
    <t>ŞOFÖR/
OPERATÖR</t>
  </si>
  <si>
    <t>SON ÇIKIŞ
TARİHİ</t>
  </si>
  <si>
    <t>SON GİRİŞ
TARİHİ</t>
  </si>
  <si>
    <t>TOPLAM
GÖREV</t>
  </si>
  <si>
    <t>NOTLAR</t>
  </si>
  <si>
    <t>📋  KARS BELEDİYESİ — ARAÇ GÖREVLENDİRME FORMU</t>
  </si>
  <si>
    <t>Araç talep, çıkış ve giriş saatleri ile görev detayları</t>
  </si>
  <si>
    <t>💡 Yeni görev: Araç No açılır listeden seçin — Araç Cinsi otomatik gelir</t>
  </si>
  <si>
    <t>GÖREV NO</t>
  </si>
  <si>
    <t>TALEP
TARİHİ</t>
  </si>
  <si>
    <t>ARAÇ
CİNSİ</t>
  </si>
  <si>
    <t>TALEBİ YAPAN
MÜDÜRLÜK</t>
  </si>
  <si>
    <t>GÖREV
YERİ</t>
  </si>
  <si>
    <t>GÖREV
TANIMI</t>
  </si>
  <si>
    <t>ÇIKIŞ
TARİHİ</t>
  </si>
  <si>
    <t>ÇIKIŞ
SAATİ</t>
  </si>
  <si>
    <t>GİRİŞ
TARİHİ</t>
  </si>
  <si>
    <t>GİRİŞ
SAATİ</t>
  </si>
  <si>
    <t>SÜRE
(Saat)</t>
  </si>
  <si>
    <t>OPERATÖR/
ŞOFÖR</t>
  </si>
  <si>
    <t>KM/SAAT</t>
  </si>
  <si>
    <t>ONAYLAYAN</t>
  </si>
  <si>
    <t>DURUM</t>
  </si>
  <si>
    <t>NOT</t>
  </si>
  <si>
    <t>MALİYET (₺)</t>
  </si>
  <si>
    <t>🕐  GÜNLÜK ARAÇ ÇIKIŞ / GİRİŞ TAKİP ÇİZELGESİ</t>
  </si>
  <si>
    <t>Tarih bazlı anlık araç hareketleri</t>
  </si>
  <si>
    <t>TARİH</t>
  </si>
  <si>
    <t>ARAÇ NO</t>
  </si>
  <si>
    <t>ŞOFÖR/OPERATÖR</t>
  </si>
  <si>
    <t>GİDİLEN YER</t>
  </si>
  <si>
    <t>GERİ DÖNÜŞ
SAATİ</t>
  </si>
  <si>
    <t>TOPLAM
SÜRE (Sa)</t>
  </si>
  <si>
    <t>KM SAYACI
ÇIKIŞ</t>
  </si>
  <si>
    <t>KM SAYACI
GİRİŞ</t>
  </si>
  <si>
    <t>KM
FARKI</t>
  </si>
  <si>
    <t>📊  MÜDÜRLÜK BAZLI ARAÇ KULLANIM ÖZET PANELİ</t>
  </si>
  <si>
    <t>Formüle dayalı otomatik özet — Görev Formu güncellenince panel otomatik güncellenir</t>
  </si>
  <si>
    <t>MÜDÜRLÜk ADI</t>
  </si>
  <si>
    <t>TAMAMLANAN</t>
  </si>
  <si>
    <t>DEVAM EDEN</t>
  </si>
  <si>
    <t>PLANLANAN</t>
  </si>
  <si>
    <t>İPTAL</t>
  </si>
  <si>
    <t>TOPLAM SÜRE
(Saat)</t>
  </si>
  <si>
    <t>ARAÇ TİPİ BAZLI ÖZET</t>
  </si>
  <si>
    <t>Müdürlük (Kısa)</t>
  </si>
  <si>
    <t>Toplam</t>
  </si>
  <si>
    <t>Tamamlanan</t>
  </si>
  <si>
    <t>Devam Eden</t>
  </si>
  <si>
    <t>Süre(Sa)</t>
  </si>
  <si>
    <t>Araç Tipi</t>
  </si>
  <si>
    <t>Toplam Görev</t>
  </si>
  <si>
    <t>Adet</t>
  </si>
  <si>
    <t>Durum</t>
  </si>
  <si>
    <t>Sayı</t>
  </si>
  <si>
    <t>Fen İşleri Müdürlüğü</t>
  </si>
  <si>
    <t>Toplam Süre (Sa)</t>
  </si>
  <si>
    <t>Araç Sayısı</t>
  </si>
  <si>
    <t>Fen İşleri</t>
  </si>
  <si>
    <t>Tamamlandı</t>
  </si>
  <si>
    <t>Su ve Kanalizasyon Müdürlüğü</t>
  </si>
  <si>
    <t>Loder</t>
  </si>
  <si>
    <t>Su ve Kan.</t>
  </si>
  <si>
    <t>Devam Ediyor</t>
  </si>
  <si>
    <t>Temizlik İşleri Müdürlüğü</t>
  </si>
  <si>
    <t>Ekskavatör</t>
  </si>
  <si>
    <t>Temizlik</t>
  </si>
  <si>
    <t>Planlandı</t>
  </si>
  <si>
    <t>Park ve Bahçeler Müdürlüğü</t>
  </si>
  <si>
    <t>JCB</t>
  </si>
  <si>
    <t>Park ve Bah.</t>
  </si>
  <si>
    <t>İptal Edildi</t>
  </si>
  <si>
    <t>Zabıta Müdürlüğü</t>
  </si>
  <si>
    <t>Kamyon</t>
  </si>
  <si>
    <t>Zabıta</t>
  </si>
  <si>
    <t>Yazı İşleri Müdürlüğü</t>
  </si>
  <si>
    <t>Transit</t>
  </si>
  <si>
    <t>Yazı İşleri</t>
  </si>
  <si>
    <t>Kültür ve Sosyal İşler Müdürlüğü</t>
  </si>
  <si>
    <t>Lowbet</t>
  </si>
  <si>
    <t>Kültür/Sos.</t>
  </si>
  <si>
    <t>Diğer</t>
  </si>
  <si>
    <t>Vidanjör</t>
  </si>
  <si>
    <t>GENEL TOPLAM</t>
  </si>
  <si>
    <t>Oto Karasfalt Finişeri</t>
  </si>
  <si>
    <t>📈  GÖREV BAZLI ANALİZ GRAFİKLERİ — Görev Formu verileriyle otomatik güncellenir</t>
  </si>
  <si>
    <t>🟢  ARAÇ DURUM PANELİ — ANLIL GÖRÜNÜM</t>
  </si>
  <si>
    <t>Araç Havuzu sayfasındaki durum bilgileri buraya otomatik yansır</t>
  </si>
  <si>
    <t>ARAÇ CİNSİ</t>
  </si>
  <si>
    <t>MEVCUT DURUM</t>
  </si>
  <si>
    <t>BAĞLI MÜDÜRLÜk</t>
  </si>
  <si>
    <t>ŞOFÖR</t>
  </si>
  <si>
    <t>SON ÇIKIŞ</t>
  </si>
  <si>
    <t>SON GİRİŞ</t>
  </si>
  <si>
    <t>DURUM ÖZET SAYAÇLARI</t>
  </si>
  <si>
    <t>✅ Müsait</t>
  </si>
  <si>
    <t>🔴 Görevde</t>
  </si>
  <si>
    <t>🔧 Bakımda</t>
  </si>
  <si>
    <t>⛔ Arızalı</t>
  </si>
  <si>
    <t>Araç ve İş Makinesi Takip Çizelgesi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</si>
</sst>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0.0"/>
    <numFmt numFmtId="166" formatCode="#,##0.00&quot; ₺&quot;"/>
  </numFmts>
  <fonts count="29" x14ac:knownFonts="1">
    <font>
      <sz val="11"/>
      <color theme="1"/>
      <name val="Calibri"/>
      <family val="2"/>
      <charset val="1"/>
    </font>
    <font>
      <b/>
      <sz val="14"/>
      <color rgb="FFD4A017"/>
      <name val="Arial"/>
      <charset val="1"/>
    </font>
    <font>
      <i/>
      <sz val="10"/>
      <color rgb="FFECEFF1"/>
      <name val="Arial"/>
      <charset val="1"/>
    </font>
    <font>
      <b/>
      <sz val="9"/>
      <color rgb="FF4A148C"/>
      <name val="Arial"/>
      <charset val="1"/>
    </font>
    <font>
      <b/>
      <sz val="9"/>
      <color rgb="FFFFFFFF"/>
      <name val="Arial"/>
      <charset val="1"/>
    </font>
    <font>
      <b/>
      <sz val="9"/>
      <color rgb="FF1A237E"/>
      <name val="Arial"/>
      <charset val="1"/>
    </font>
    <font>
      <sz val="9"/>
      <color rgb="FF212121"/>
      <name val="Arial"/>
      <charset val="1"/>
    </font>
    <font>
      <sz val="9"/>
      <color rgb="FF1B5E20"/>
      <name val="Arial"/>
      <charset val="1"/>
    </font>
    <font>
      <b/>
      <sz val="13"/>
      <color rgb="FFD4A017"/>
      <name val="Arial"/>
      <charset val="1"/>
    </font>
    <font>
      <b/>
      <sz val="9"/>
      <color rgb="FFC62828"/>
      <name val="Arial"/>
      <charset val="1"/>
    </font>
    <font>
      <i/>
      <sz val="9"/>
      <color rgb="FFECEFF1"/>
      <name val="Arial"/>
      <charset val="1"/>
    </font>
    <font>
      <b/>
      <sz val="10"/>
      <color rgb="FFD4A017"/>
      <name val="Arial"/>
      <charset val="1"/>
    </font>
    <font>
      <b/>
      <sz val="8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212121"/>
      <name val="Arial"/>
      <charset val="1"/>
    </font>
    <font>
      <b/>
      <sz val="8"/>
      <color rgb="FF212121"/>
      <name val="Arial"/>
      <charset val="1"/>
    </font>
    <font>
      <sz val="8"/>
      <color rgb="FF212121"/>
      <name val="Arial"/>
      <charset val="1"/>
    </font>
    <font>
      <b/>
      <sz val="9"/>
      <color rgb="FF212121"/>
      <name val="Arial"/>
      <charset val="1"/>
    </font>
    <font>
      <b/>
      <sz val="11"/>
      <color rgb="FF1A3A5C"/>
      <name val="Arial"/>
      <charset val="1"/>
    </font>
    <font>
      <b/>
      <sz val="11"/>
      <color rgb="FFD4A017"/>
      <name val="Arial"/>
      <charset val="1"/>
    </font>
    <font>
      <b/>
      <sz val="9"/>
      <color rgb="FF2E7D32"/>
      <name val="Arial"/>
      <charset val="1"/>
    </font>
    <font>
      <b/>
      <sz val="9"/>
      <color rgb="FFE65100"/>
      <name val="Arial"/>
      <charset val="1"/>
    </font>
    <font>
      <b/>
      <sz val="9"/>
      <color rgb="FF880E4F"/>
      <name val="Arial"/>
      <charset val="1"/>
    </font>
    <font>
      <b/>
      <sz val="18"/>
      <color rgb="FF2E7D32"/>
      <name val="Arial"/>
      <charset val="1"/>
    </font>
    <font>
      <b/>
      <sz val="18"/>
      <color rgb="FFC62828"/>
      <name val="Arial"/>
      <charset val="1"/>
    </font>
    <font>
      <b/>
      <sz val="18"/>
      <color rgb="FFE65100"/>
      <name val="Arial"/>
      <charset val="1"/>
    </font>
    <font>
      <b/>
      <sz val="18"/>
      <color rgb="FF880E4F"/>
      <name val="Arial"/>
      <charset val="1"/>
    </font>
    <font>
      <sz val="9"/>
      <color rgb="FFFF0000"/>
      <name val="Arial"/>
      <family val="2"/>
      <charset val="162"/>
    </font>
    <font>
      <b/>
      <sz val="9"/>
      <color rgb="FFFF0000"/>
      <name val="Arial"/>
      <family val="2"/>
      <charset val="162"/>
    </font>
  </fonts>
  <fills count="20">
    <fill>
      <patternFill patternType="none"/>
    </fill>
    <fill>
      <patternFill patternType="gray125"/>
    </fill>
    <fill>
      <patternFill patternType="solid">
        <fgColor rgb="FF1A3A5C"/>
        <bgColor rgb="FF263238"/>
      </patternFill>
    </fill>
    <fill>
      <patternFill patternType="solid">
        <fgColor rgb="FF37474F"/>
        <bgColor rgb="FF455A64"/>
      </patternFill>
    </fill>
    <fill>
      <patternFill patternType="solid">
        <fgColor rgb="FFF3E5F5"/>
        <bgColor rgb="FFFCE4EC"/>
      </patternFill>
    </fill>
    <fill>
      <patternFill patternType="solid">
        <fgColor rgb="FFECEFF1"/>
        <bgColor rgb="FFE8F5E9"/>
      </patternFill>
    </fill>
    <fill>
      <patternFill patternType="solid">
        <fgColor rgb="FFFFFFFF"/>
        <bgColor rgb="FFFFFDE7"/>
      </patternFill>
    </fill>
    <fill>
      <patternFill patternType="solid">
        <fgColor rgb="FF263238"/>
        <bgColor rgb="FF1A3A5C"/>
      </patternFill>
    </fill>
    <fill>
      <patternFill patternType="solid">
        <fgColor rgb="FF1A237E"/>
        <bgColor rgb="FF1A3A5C"/>
      </patternFill>
    </fill>
    <fill>
      <patternFill patternType="solid">
        <fgColor rgb="FF1565C0"/>
        <bgColor rgb="FF3366FF"/>
      </patternFill>
    </fill>
    <fill>
      <patternFill patternType="solid">
        <fgColor rgb="FFF5F5F5"/>
        <bgColor rgb="FFECEFF1"/>
      </patternFill>
    </fill>
    <fill>
      <patternFill patternType="solid">
        <fgColor rgb="FF2E7D32"/>
        <bgColor rgb="FF558B2F"/>
      </patternFill>
    </fill>
    <fill>
      <patternFill patternType="solid">
        <fgColor rgb="FF558B2F"/>
        <bgColor rgb="FF2E7D32"/>
      </patternFill>
    </fill>
    <fill>
      <patternFill patternType="solid">
        <fgColor rgb="FF6A1B9A"/>
        <bgColor rgb="FF4A148C"/>
      </patternFill>
    </fill>
    <fill>
      <patternFill patternType="solid">
        <fgColor rgb="FFAD1457"/>
        <bgColor rgb="FF880E4F"/>
      </patternFill>
    </fill>
    <fill>
      <patternFill patternType="solid">
        <fgColor rgb="FF455A64"/>
        <bgColor rgb="FF37474F"/>
      </patternFill>
    </fill>
    <fill>
      <patternFill patternType="solid">
        <fgColor rgb="FFD4A017"/>
        <bgColor rgb="FFB8860B"/>
      </patternFill>
    </fill>
    <fill>
      <gradientFill>
        <stop position="0">
          <color theme="0"/>
        </stop>
        <stop position="1">
          <color theme="4"/>
        </stop>
      </gradientFill>
    </fill>
    <fill>
      <gradientFill degree="45">
        <stop position="0">
          <color theme="0"/>
        </stop>
        <stop position="1">
          <color theme="4"/>
        </stop>
      </gradientFill>
    </fill>
    <fill>
      <gradientFill type="path">
        <stop position="0">
          <color theme="0"/>
        </stop>
        <stop position="1">
          <color theme="4"/>
        </stop>
      </gradientFill>
    </fill>
  </fills>
  <borders count="5">
    <border>
      <left/>
      <right/>
      <top/>
      <bottom/>
      <diagonal/>
    </border>
    <border>
      <left style="medium">
        <color rgb="FF90A4AE"/>
      </left>
      <right/>
      <top style="medium">
        <color rgb="FF90A4AE"/>
      </top>
      <bottom style="medium">
        <color rgb="FF90A4AE"/>
      </bottom>
      <diagonal/>
    </border>
    <border>
      <left style="thin">
        <color rgb="FF90A4AE"/>
      </left>
      <right/>
      <top style="thin">
        <color rgb="FF90A4AE"/>
      </top>
      <bottom style="thin">
        <color rgb="FF90A4AE"/>
      </bottom>
      <diagonal/>
    </border>
    <border>
      <left style="medium">
        <color rgb="FF90A4AE"/>
      </left>
      <right style="medium">
        <color rgb="FF90A4AE"/>
      </right>
      <top style="medium">
        <color rgb="FF90A4AE"/>
      </top>
      <bottom style="medium">
        <color rgb="FF90A4AE"/>
      </bottom>
      <diagonal/>
    </border>
    <border>
      <left style="thin">
        <color rgb="FF90A4AE"/>
      </left>
      <right style="thin">
        <color rgb="FF90A4AE"/>
      </right>
      <top style="thin">
        <color rgb="FF90A4AE"/>
      </top>
      <bottom style="thin">
        <color rgb="FF90A4AE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 applyAlignment="1"/>
    <xf numFmtId="0" fontId="4" fillId="2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left" vertical="center"/>
    </xf>
    <xf numFmtId="164" fontId="6" fillId="5" borderId="4" xfId="0" applyNumberFormat="1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left" vertical="center" wrapText="1"/>
    </xf>
    <xf numFmtId="0" fontId="5" fillId="6" borderId="4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left" vertical="center"/>
    </xf>
    <xf numFmtId="164" fontId="6" fillId="6" borderId="4" xfId="0" applyNumberFormat="1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left" vertical="center" wrapText="1"/>
    </xf>
    <xf numFmtId="0" fontId="7" fillId="5" borderId="4" xfId="0" applyFont="1" applyFill="1" applyBorder="1" applyAlignment="1">
      <alignment horizontal="center" vertical="center"/>
    </xf>
    <xf numFmtId="165" fontId="5" fillId="5" borderId="4" xfId="0" applyNumberFormat="1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left" vertical="center"/>
    </xf>
    <xf numFmtId="166" fontId="6" fillId="5" borderId="4" xfId="0" applyNumberFormat="1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165" fontId="5" fillId="6" borderId="4" xfId="0" applyNumberFormat="1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left" vertical="center"/>
    </xf>
    <xf numFmtId="166" fontId="6" fillId="6" borderId="4" xfId="0" applyNumberFormat="1" applyFont="1" applyFill="1" applyBorder="1" applyAlignment="1">
      <alignment horizontal="center" vertical="center"/>
    </xf>
    <xf numFmtId="3" fontId="6" fillId="5" borderId="4" xfId="0" applyNumberFormat="1" applyFont="1" applyFill="1" applyBorder="1" applyAlignment="1">
      <alignment horizontal="center" vertical="center"/>
    </xf>
    <xf numFmtId="3" fontId="9" fillId="5" borderId="4" xfId="0" applyNumberFormat="1" applyFont="1" applyFill="1" applyBorder="1" applyAlignment="1">
      <alignment horizontal="center" vertical="center"/>
    </xf>
    <xf numFmtId="3" fontId="6" fillId="6" borderId="4" xfId="0" applyNumberFormat="1" applyFont="1" applyFill="1" applyBorder="1" applyAlignment="1">
      <alignment horizontal="center" vertical="center"/>
    </xf>
    <xf numFmtId="3" fontId="9" fillId="6" borderId="4" xfId="0" applyNumberFormat="1" applyFont="1" applyFill="1" applyBorder="1" applyAlignment="1">
      <alignment horizontal="center" vertical="center"/>
    </xf>
    <xf numFmtId="0" fontId="12" fillId="7" borderId="4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left" vertical="center"/>
    </xf>
    <xf numFmtId="3" fontId="14" fillId="6" borderId="4" xfId="0" applyNumberFormat="1" applyFont="1" applyFill="1" applyBorder="1" applyAlignment="1">
      <alignment horizontal="center" vertical="center"/>
    </xf>
    <xf numFmtId="165" fontId="14" fillId="6" borderId="4" xfId="0" applyNumberFormat="1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3" fontId="16" fillId="5" borderId="4" xfId="0" applyNumberFormat="1" applyFont="1" applyFill="1" applyBorder="1" applyAlignment="1">
      <alignment horizontal="center" vertical="center"/>
    </xf>
    <xf numFmtId="3" fontId="16" fillId="6" borderId="4" xfId="0" applyNumberFormat="1" applyFont="1" applyFill="1" applyBorder="1" applyAlignment="1">
      <alignment horizontal="center" vertical="center"/>
    </xf>
    <xf numFmtId="0" fontId="13" fillId="9" borderId="3" xfId="0" applyFont="1" applyFill="1" applyBorder="1" applyAlignment="1">
      <alignment horizontal="left" vertical="center"/>
    </xf>
    <xf numFmtId="3" fontId="14" fillId="10" borderId="4" xfId="0" applyNumberFormat="1" applyFont="1" applyFill="1" applyBorder="1" applyAlignment="1">
      <alignment horizontal="center" vertical="center"/>
    </xf>
    <xf numFmtId="165" fontId="14" fillId="10" borderId="4" xfId="0" applyNumberFormat="1" applyFont="1" applyFill="1" applyBorder="1" applyAlignment="1">
      <alignment horizontal="center" vertical="center"/>
    </xf>
    <xf numFmtId="0" fontId="17" fillId="6" borderId="4" xfId="0" applyFont="1" applyFill="1" applyBorder="1" applyAlignment="1">
      <alignment horizontal="left" vertical="center"/>
    </xf>
    <xf numFmtId="165" fontId="6" fillId="6" borderId="4" xfId="0" applyNumberFormat="1" applyFont="1" applyFill="1" applyBorder="1" applyAlignment="1">
      <alignment horizontal="center" vertical="center"/>
    </xf>
    <xf numFmtId="0" fontId="13" fillId="11" borderId="3" xfId="0" applyFont="1" applyFill="1" applyBorder="1" applyAlignment="1">
      <alignment horizontal="left" vertical="center"/>
    </xf>
    <xf numFmtId="0" fontId="17" fillId="5" borderId="4" xfId="0" applyFont="1" applyFill="1" applyBorder="1" applyAlignment="1">
      <alignment horizontal="left" vertical="center"/>
    </xf>
    <xf numFmtId="165" fontId="6" fillId="5" borderId="4" xfId="0" applyNumberFormat="1" applyFont="1" applyFill="1" applyBorder="1" applyAlignment="1">
      <alignment horizontal="center" vertical="center"/>
    </xf>
    <xf numFmtId="0" fontId="13" fillId="12" borderId="3" xfId="0" applyFont="1" applyFill="1" applyBorder="1" applyAlignment="1">
      <alignment horizontal="left" vertical="center"/>
    </xf>
    <xf numFmtId="0" fontId="13" fillId="13" borderId="3" xfId="0" applyFont="1" applyFill="1" applyBorder="1" applyAlignment="1">
      <alignment horizontal="left" vertical="center"/>
    </xf>
    <xf numFmtId="0" fontId="13" fillId="3" borderId="3" xfId="0" applyFont="1" applyFill="1" applyBorder="1" applyAlignment="1">
      <alignment horizontal="left" vertical="center"/>
    </xf>
    <xf numFmtId="0" fontId="13" fillId="14" borderId="3" xfId="0" applyFont="1" applyFill="1" applyBorder="1" applyAlignment="1">
      <alignment horizontal="left" vertical="center"/>
    </xf>
    <xf numFmtId="0" fontId="13" fillId="15" borderId="3" xfId="0" applyFont="1" applyFill="1" applyBorder="1" applyAlignment="1">
      <alignment horizontal="left" vertical="center"/>
    </xf>
    <xf numFmtId="0" fontId="18" fillId="16" borderId="3" xfId="0" applyFont="1" applyFill="1" applyBorder="1" applyAlignment="1">
      <alignment horizontal="center" vertical="center"/>
    </xf>
    <xf numFmtId="3" fontId="18" fillId="16" borderId="3" xfId="0" applyNumberFormat="1" applyFont="1" applyFill="1" applyBorder="1" applyAlignment="1">
      <alignment horizontal="center" vertical="center"/>
    </xf>
    <xf numFmtId="165" fontId="18" fillId="16" borderId="3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3" fontId="16" fillId="17" borderId="4" xfId="0" applyNumberFormat="1" applyFont="1" applyFill="1" applyBorder="1" applyAlignment="1">
      <alignment horizontal="center" vertical="center"/>
    </xf>
    <xf numFmtId="0" fontId="15" fillId="18" borderId="4" xfId="0" applyFont="1" applyFill="1" applyBorder="1" applyAlignment="1">
      <alignment horizontal="left" vertical="center"/>
    </xf>
    <xf numFmtId="0" fontId="16" fillId="19" borderId="4" xfId="0" applyFont="1" applyFill="1" applyBorder="1" applyAlignment="1">
      <alignment horizontal="center" vertical="center"/>
    </xf>
    <xf numFmtId="20" fontId="6" fillId="5" borderId="4" xfId="0" applyNumberFormat="1" applyFont="1" applyFill="1" applyBorder="1" applyAlignment="1">
      <alignment horizontal="center" vertical="center"/>
    </xf>
    <xf numFmtId="20" fontId="6" fillId="6" borderId="4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3" fillId="4" borderId="0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4" fillId="6" borderId="1" xfId="0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center" vertical="center"/>
    </xf>
    <xf numFmtId="0" fontId="26" fillId="6" borderId="1" xfId="0" applyFont="1" applyFill="1" applyBorder="1" applyAlignment="1">
      <alignment horizontal="center" vertical="center"/>
    </xf>
    <xf numFmtId="0" fontId="27" fillId="5" borderId="2" xfId="0" applyFont="1" applyFill="1" applyBorder="1" applyAlignment="1">
      <alignment horizontal="center" vertical="center" wrapText="1"/>
    </xf>
    <xf numFmtId="0" fontId="28" fillId="5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15">
    <dxf>
      <font>
        <b/>
        <sz val="9"/>
        <color rgb="FF880E4F"/>
        <name val="Arial"/>
      </font>
      <fill>
        <patternFill>
          <bgColor rgb="FFFCE4EC"/>
        </patternFill>
      </fill>
    </dxf>
    <dxf>
      <font>
        <b/>
        <sz val="9"/>
        <color rgb="FFE65100"/>
        <name val="Arial"/>
      </font>
      <fill>
        <patternFill>
          <bgColor rgb="FFFFF3E0"/>
        </patternFill>
      </fill>
    </dxf>
    <dxf>
      <font>
        <b/>
        <sz val="9"/>
        <color rgb="FFC62828"/>
        <name val="Arial"/>
      </font>
      <fill>
        <patternFill>
          <bgColor rgb="FFFFEBEE"/>
        </patternFill>
      </fill>
    </dxf>
    <dxf>
      <font>
        <b/>
        <sz val="9"/>
        <color rgb="FF2E7D32"/>
        <name val="Arial"/>
      </font>
      <fill>
        <patternFill>
          <bgColor rgb="FFE8F5E9"/>
        </patternFill>
      </fill>
    </dxf>
    <dxf>
      <font>
        <b/>
        <sz val="9"/>
        <color rgb="FFC62828"/>
        <name val="Arial"/>
      </font>
      <fill>
        <patternFill>
          <bgColor rgb="FFFCE4EC"/>
        </patternFill>
      </fill>
    </dxf>
    <dxf>
      <font>
        <b/>
        <sz val="9"/>
        <color rgb="FFF57F17"/>
        <name val="Arial"/>
      </font>
      <fill>
        <patternFill>
          <bgColor rgb="FFFFF9C4"/>
        </patternFill>
      </fill>
    </dxf>
    <dxf>
      <font>
        <b/>
        <sz val="9"/>
        <color rgb="FF1565C0"/>
        <name val="Arial"/>
      </font>
      <fill>
        <patternFill>
          <bgColor rgb="FFE3F2FD"/>
        </patternFill>
      </fill>
    </dxf>
    <dxf>
      <font>
        <b/>
        <sz val="9"/>
        <color rgb="FF2E7D32"/>
        <name val="Arial"/>
      </font>
      <fill>
        <patternFill>
          <bgColor rgb="FFE8F5E9"/>
        </patternFill>
      </fill>
    </dxf>
    <dxf>
      <font>
        <b/>
        <sz val="9"/>
        <color rgb="FF1565C0"/>
        <name val="Arial"/>
      </font>
      <fill>
        <patternFill>
          <bgColor rgb="FFE3F2FD"/>
        </patternFill>
      </fill>
    </dxf>
    <dxf>
      <font>
        <b/>
        <sz val="9"/>
        <color rgb="FF880E4F"/>
        <name val="Arial"/>
      </font>
      <fill>
        <patternFill>
          <bgColor rgb="FFFCE4EC"/>
        </patternFill>
      </fill>
    </dxf>
    <dxf>
      <font>
        <b/>
        <sz val="9"/>
        <color rgb="FFE65100"/>
        <name val="Arial"/>
      </font>
      <fill>
        <patternFill>
          <bgColor rgb="FFFFF3E0"/>
        </patternFill>
      </fill>
    </dxf>
    <dxf>
      <font>
        <b/>
        <sz val="9"/>
        <color rgb="FFC62828"/>
        <name val="Arial"/>
      </font>
      <fill>
        <patternFill>
          <bgColor rgb="FFFFEBEE"/>
        </patternFill>
      </fill>
    </dxf>
    <dxf>
      <font>
        <b/>
        <sz val="9"/>
        <color rgb="FF2E7D32"/>
        <name val="Arial"/>
      </font>
      <fill>
        <patternFill>
          <bgColor rgb="FFE8F5E9"/>
        </patternFill>
      </fill>
    </dxf>
    <dxf>
      <font>
        <b/>
        <sz val="9"/>
        <color rgb="FFC62828"/>
        <name val="Arial"/>
      </font>
      <fill>
        <patternFill>
          <bgColor rgb="FFFFEBEE"/>
        </patternFill>
      </fill>
    </dxf>
    <dxf>
      <font>
        <b/>
        <sz val="9"/>
        <color rgb="FFF57F17"/>
        <name val="Arial"/>
      </font>
      <fill>
        <patternFill>
          <bgColor rgb="FFFFFDE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DE7"/>
      <rgbColor rgb="FFFF00FF"/>
      <rgbColor rgb="FF00FFFF"/>
      <rgbColor rgb="FF800000"/>
      <rgbColor rgb="FF1B5E20"/>
      <rgbColor rgb="FF000080"/>
      <rgbColor rgb="FF558B2F"/>
      <rgbColor rgb="FF880E4F"/>
      <rgbColor rgb="FF455A64"/>
      <rgbColor rgb="FFB3B3B3"/>
      <rgbColor rgb="FF4F81BD"/>
      <rgbColor rgb="FF9999FF"/>
      <rgbColor rgb="FFAD1457"/>
      <rgbColor rgb="FFFFF9C4"/>
      <rgbColor rgb="FFE3F2FD"/>
      <rgbColor rgb="FF4A148C"/>
      <rgbColor rgb="FFB8860B"/>
      <rgbColor rgb="FF1565C0"/>
      <rgbColor rgb="FFD9D9D9"/>
      <rgbColor rgb="FF000080"/>
      <rgbColor rgb="FFFF00FF"/>
      <rgbColor rgb="FFFFFF00"/>
      <rgbColor rgb="FF00FFFF"/>
      <rgbColor rgb="FF6A1B9A"/>
      <rgbColor rgb="FF800000"/>
      <rgbColor rgb="FF008080"/>
      <rgbColor rgb="FF0000FF"/>
      <rgbColor rgb="FF00CCFF"/>
      <rgbColor rgb="FFE8F5E9"/>
      <rgbColor rgb="FFECEFF1"/>
      <rgbColor rgb="FFFFF3E0"/>
      <rgbColor rgb="FFF3E5F5"/>
      <rgbColor rgb="FFFFEBEE"/>
      <rgbColor rgb="FFF5F5F5"/>
      <rgbColor rgb="FFFCE4EC"/>
      <rgbColor rgb="FF3366FF"/>
      <rgbColor rgb="FF33CCCC"/>
      <rgbColor rgb="FF99CC00"/>
      <rgbColor rgb="FFD4A017"/>
      <rgbColor rgb="FFF57F17"/>
      <rgbColor rgb="FFE65100"/>
      <rgbColor rgb="FF546E7A"/>
      <rgbColor rgb="FF90A4AE"/>
      <rgbColor rgb="FF1A3A5C"/>
      <rgbColor rgb="FF2E7D32"/>
      <rgbColor rgb="FF37474F"/>
      <rgbColor rgb="FF212121"/>
      <rgbColor rgb="FFC62828"/>
      <rgbColor rgb="FF993366"/>
      <rgbColor rgb="FF1A237E"/>
      <rgbColor rgb="FF26323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Müdürlük Bazlı Görev Dağılımı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'📊 Müdürlük Özeti'!$O$4</c:f>
              <c:strCache>
                <c:ptCount val="1"/>
                <c:pt idx="0">
                  <c:v>Toplam</c:v>
                </c:pt>
              </c:strCache>
            </c:strRef>
          </c:tx>
          <c:spPr>
            <a:noFill/>
            <a:ln w="9525" cap="flat" cmpd="sng" algn="ctr">
              <a:solidFill>
                <a:schemeClr val="accent6"/>
              </a:solidFill>
              <a:miter lim="800000"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'📊 Müdürlük Özeti'!$N$5:$N$12</c:f>
              <c:strCache>
                <c:ptCount val="8"/>
                <c:pt idx="0">
                  <c:v>Fen İşleri</c:v>
                </c:pt>
                <c:pt idx="1">
                  <c:v>Su ve Kan.</c:v>
                </c:pt>
                <c:pt idx="2">
                  <c:v>Temizlik</c:v>
                </c:pt>
                <c:pt idx="3">
                  <c:v>Park ve Bah.</c:v>
                </c:pt>
                <c:pt idx="4">
                  <c:v>Zabıta</c:v>
                </c:pt>
                <c:pt idx="5">
                  <c:v>Yazı İşleri</c:v>
                </c:pt>
                <c:pt idx="6">
                  <c:v>Kültür/Sos.</c:v>
                </c:pt>
                <c:pt idx="7">
                  <c:v>Diğer</c:v>
                </c:pt>
              </c:strCache>
            </c:strRef>
          </c:cat>
          <c:val>
            <c:numRef>
              <c:f>'📊 Müdürlük Özeti'!$O$5:$O$12</c:f>
              <c:numCache>
                <c:formatCode>#,##0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15-364D-ACBF-48B45C4BC515}"/>
            </c:ext>
          </c:extLst>
        </c:ser>
        <c:ser>
          <c:idx val="1"/>
          <c:order val="1"/>
          <c:tx>
            <c:strRef>
              <c:f>'📊 Müdürlük Özeti'!$P$4</c:f>
              <c:strCache>
                <c:ptCount val="1"/>
                <c:pt idx="0">
                  <c:v>Tamamlanan</c:v>
                </c:pt>
              </c:strCache>
            </c:strRef>
          </c:tx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'📊 Müdürlük Özeti'!$N$5:$N$12</c:f>
              <c:strCache>
                <c:ptCount val="8"/>
                <c:pt idx="0">
                  <c:v>Fen İşleri</c:v>
                </c:pt>
                <c:pt idx="1">
                  <c:v>Su ve Kan.</c:v>
                </c:pt>
                <c:pt idx="2">
                  <c:v>Temizlik</c:v>
                </c:pt>
                <c:pt idx="3">
                  <c:v>Park ve Bah.</c:v>
                </c:pt>
                <c:pt idx="4">
                  <c:v>Zabıta</c:v>
                </c:pt>
                <c:pt idx="5">
                  <c:v>Yazı İşleri</c:v>
                </c:pt>
                <c:pt idx="6">
                  <c:v>Kültür/Sos.</c:v>
                </c:pt>
                <c:pt idx="7">
                  <c:v>Diğer</c:v>
                </c:pt>
              </c:strCache>
            </c:strRef>
          </c:cat>
          <c:val>
            <c:numRef>
              <c:f>'📊 Müdürlük Özeti'!$P$5:$P$12</c:f>
              <c:numCache>
                <c:formatCode>#,##0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15-364D-ACBF-48B45C4BC515}"/>
            </c:ext>
          </c:extLst>
        </c:ser>
        <c:ser>
          <c:idx val="2"/>
          <c:order val="2"/>
          <c:tx>
            <c:strRef>
              <c:f>'📊 Müdürlük Özeti'!$Q$4</c:f>
              <c:strCache>
                <c:ptCount val="1"/>
                <c:pt idx="0">
                  <c:v>Devam Eden</c:v>
                </c:pt>
              </c:strCache>
            </c:strRef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'📊 Müdürlük Özeti'!$N$5:$N$12</c:f>
              <c:strCache>
                <c:ptCount val="8"/>
                <c:pt idx="0">
                  <c:v>Fen İşleri</c:v>
                </c:pt>
                <c:pt idx="1">
                  <c:v>Su ve Kan.</c:v>
                </c:pt>
                <c:pt idx="2">
                  <c:v>Temizlik</c:v>
                </c:pt>
                <c:pt idx="3">
                  <c:v>Park ve Bah.</c:v>
                </c:pt>
                <c:pt idx="4">
                  <c:v>Zabıta</c:v>
                </c:pt>
                <c:pt idx="5">
                  <c:v>Yazı İşleri</c:v>
                </c:pt>
                <c:pt idx="6">
                  <c:v>Kültür/Sos.</c:v>
                </c:pt>
                <c:pt idx="7">
                  <c:v>Diğer</c:v>
                </c:pt>
              </c:strCache>
            </c:strRef>
          </c:cat>
          <c:val>
            <c:numRef>
              <c:f>'📊 Müdürlük Özeti'!$Q$5:$Q$12</c:f>
              <c:numCache>
                <c:formatCode>#,##0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15-364D-ACBF-48B45C4BC5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34757193"/>
        <c:axId val="19377022"/>
      </c:barChart>
      <c:catAx>
        <c:axId val="3475719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Görev Sayısı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9377022"/>
        <c:crosses val="autoZero"/>
        <c:auto val="1"/>
        <c:lblAlgn val="ctr"/>
        <c:lblOffset val="100"/>
        <c:noMultiLvlLbl val="0"/>
      </c:catAx>
      <c:valAx>
        <c:axId val="1937702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Müdürlük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475719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1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Müdürlük Bazlı Toplam Çalışma Saati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'📊 Müdürlük Özeti'!$R$4</c:f>
              <c:strCache>
                <c:ptCount val="1"/>
                <c:pt idx="0">
                  <c:v>Süre(Sa)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chemeClr val="accent1"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'📊 Müdürlük Özeti'!$N$5:$N$12</c:f>
              <c:strCache>
                <c:ptCount val="8"/>
                <c:pt idx="0">
                  <c:v>Fen İşleri</c:v>
                </c:pt>
                <c:pt idx="1">
                  <c:v>Su ve Kan.</c:v>
                </c:pt>
                <c:pt idx="2">
                  <c:v>Temizlik</c:v>
                </c:pt>
                <c:pt idx="3">
                  <c:v>Park ve Bah.</c:v>
                </c:pt>
                <c:pt idx="4">
                  <c:v>Zabıta</c:v>
                </c:pt>
                <c:pt idx="5">
                  <c:v>Yazı İşleri</c:v>
                </c:pt>
                <c:pt idx="6">
                  <c:v>Kültür/Sos.</c:v>
                </c:pt>
                <c:pt idx="7">
                  <c:v>Diğer</c:v>
                </c:pt>
              </c:strCache>
            </c:strRef>
          </c:cat>
          <c:val>
            <c:numRef>
              <c:f>'📊 Müdürlük Özeti'!$R$5:$R$12</c:f>
              <c:numCache>
                <c:formatCode>#,##0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39-404F-99D3-9FCB377ED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4892170"/>
        <c:axId val="52403795"/>
      </c:barChart>
      <c:catAx>
        <c:axId val="1489217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Müdürlük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2403795"/>
        <c:crosses val="autoZero"/>
        <c:auto val="1"/>
        <c:lblAlgn val="ctr"/>
        <c:lblOffset val="100"/>
        <c:noMultiLvlLbl val="0"/>
      </c:catAx>
      <c:valAx>
        <c:axId val="524037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Saat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489217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Araç Tipi Bazlı Görev Sayısı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'📊 Müdürlük Özeti'!$U$4</c:f>
              <c:strCache>
                <c:ptCount val="1"/>
                <c:pt idx="0">
                  <c:v>Toplam Görev</c:v>
                </c:pt>
              </c:strCache>
            </c:strRef>
          </c:tx>
          <c:spPr>
            <a:pattFill prst="ltUpDiag">
              <a:fgClr>
                <a:schemeClr val="accent2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chemeClr val="accent2"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'📊 Müdürlük Özeti'!$T$5:$T$12</c:f>
              <c:strCache>
                <c:ptCount val="8"/>
                <c:pt idx="0">
                  <c:v>Loder</c:v>
                </c:pt>
                <c:pt idx="1">
                  <c:v>Ekskavatör</c:v>
                </c:pt>
                <c:pt idx="2">
                  <c:v>JCB</c:v>
                </c:pt>
                <c:pt idx="3">
                  <c:v>Kamyon</c:v>
                </c:pt>
                <c:pt idx="4">
                  <c:v>Transit</c:v>
                </c:pt>
                <c:pt idx="5">
                  <c:v>Lowbet</c:v>
                </c:pt>
                <c:pt idx="6">
                  <c:v>Vidanjör</c:v>
                </c:pt>
                <c:pt idx="7">
                  <c:v>Oto Karasfalt Finişeri</c:v>
                </c:pt>
              </c:strCache>
            </c:strRef>
          </c:cat>
          <c:val>
            <c:numRef>
              <c:f>'📊 Müdürlük Özeti'!$U$5:$U$12</c:f>
              <c:numCache>
                <c:formatCode>#,##0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1B-1548-92A0-799048009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80455629"/>
        <c:axId val="75926213"/>
      </c:barChart>
      <c:catAx>
        <c:axId val="8045562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Araç Tipi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2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75926213"/>
        <c:crosses val="autoZero"/>
        <c:auto val="1"/>
        <c:lblAlgn val="ctr"/>
        <c:lblOffset val="100"/>
        <c:noMultiLvlLbl val="0"/>
      </c:catAx>
      <c:valAx>
        <c:axId val="7592621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Görev Sayısı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8045562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1"/>
  </c:chart>
  <c:spPr>
    <a:solidFill>
      <a:schemeClr val="accent2"/>
    </a:solidFill>
    <a:ln w="9525" cap="flat" cmpd="sng" algn="ctr">
      <a:solidFill>
        <a:schemeClr val="accent2"/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Araç Tipi Bazlı Toplam Çalışma Saati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'📊 Müdürlük Özeti'!$V$4</c:f>
              <c:strCache>
                <c:ptCount val="1"/>
                <c:pt idx="0">
                  <c:v>Süre(Sa)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'📊 Müdürlük Özeti'!$T$5:$T$12</c:f>
              <c:strCache>
                <c:ptCount val="8"/>
                <c:pt idx="0">
                  <c:v>Loder</c:v>
                </c:pt>
                <c:pt idx="1">
                  <c:v>Ekskavatör</c:v>
                </c:pt>
                <c:pt idx="2">
                  <c:v>JCB</c:v>
                </c:pt>
                <c:pt idx="3">
                  <c:v>Kamyon</c:v>
                </c:pt>
                <c:pt idx="4">
                  <c:v>Transit</c:v>
                </c:pt>
                <c:pt idx="5">
                  <c:v>Lowbet</c:v>
                </c:pt>
                <c:pt idx="6">
                  <c:v>Vidanjör</c:v>
                </c:pt>
                <c:pt idx="7">
                  <c:v>Oto Karasfalt Finişeri</c:v>
                </c:pt>
              </c:strCache>
            </c:strRef>
          </c:cat>
          <c:val>
            <c:numRef>
              <c:f>'📊 Müdürlük Özeti'!$V$5:$V$12</c:f>
              <c:numCache>
                <c:formatCode>#,##0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59-7746-A3D8-414F4FE633A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9126552"/>
        <c:axId val="62187264"/>
      </c:barChart>
      <c:catAx>
        <c:axId val="491265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Araç Tipi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62187264"/>
        <c:crosses val="autoZero"/>
        <c:auto val="1"/>
        <c:lblAlgn val="ctr"/>
        <c:lblOffset val="100"/>
        <c:noMultiLvlLbl val="0"/>
      </c:catAx>
      <c:valAx>
        <c:axId val="6218726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Saat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#,##0" sourceLinked="1"/>
        <c:majorTickMark val="none"/>
        <c:minorTickMark val="none"/>
        <c:tickLblPos val="nextTo"/>
        <c:crossAx val="49126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tr-TR" sz="1800" b="1" strike="noStrike" spc="-1">
                <a:solidFill>
                  <a:srgbClr val="000000"/>
                </a:solidFill>
                <a:latin typeface="Calibri"/>
              </a:rPr>
              <a:t>Görev Durum Dağılımı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'📊 Müdürlük Özeti'!$Z$4</c:f>
              <c:strCache>
                <c:ptCount val="1"/>
                <c:pt idx="0">
                  <c:v>Sayı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dPt>
            <c:idx val="0"/>
            <c:bubble3D val="0"/>
            <c:spPr>
              <a:solidFill>
                <a:srgbClr val="2E7D32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C7FA-4F12-87F3-37CC8D1A66CA}"/>
              </c:ext>
            </c:extLst>
          </c:dPt>
          <c:dPt>
            <c:idx val="1"/>
            <c:bubble3D val="0"/>
            <c:spPr>
              <a:solidFill>
                <a:srgbClr val="1565C0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C7FA-4F12-87F3-37CC8D1A66CA}"/>
              </c:ext>
            </c:extLst>
          </c:dPt>
          <c:dPt>
            <c:idx val="2"/>
            <c:bubble3D val="0"/>
            <c:spPr>
              <a:solidFill>
                <a:srgbClr val="F57F17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C7FA-4F12-87F3-37CC8D1A66CA}"/>
              </c:ext>
            </c:extLst>
          </c:dPt>
          <c:dPt>
            <c:idx val="3"/>
            <c:bubble3D val="0"/>
            <c:spPr>
              <a:solidFill>
                <a:srgbClr val="C62828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C7FA-4F12-87F3-37CC8D1A66CA}"/>
              </c:ext>
            </c:extLst>
          </c:dPt>
          <c:dLbls>
            <c:dLbl>
              <c:idx val="0"/>
              <c:layout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tr-TR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C7FA-4F12-87F3-37CC8D1A66CA}"/>
                </c:ext>
              </c:extLst>
            </c:dLbl>
            <c:dLbl>
              <c:idx val="1"/>
              <c:layout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tr-TR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C7FA-4F12-87F3-37CC8D1A66CA}"/>
                </c:ext>
              </c:extLst>
            </c:dLbl>
            <c:dLbl>
              <c:idx val="2"/>
              <c:layout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tr-TR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C7FA-4F12-87F3-37CC8D1A66CA}"/>
                </c:ext>
              </c:extLst>
            </c:dLbl>
            <c:dLbl>
              <c:idx val="3"/>
              <c:layout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tr-TR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C7FA-4F12-87F3-37CC8D1A66C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tr-TR"/>
              </a:p>
            </c:txPr>
            <c:dLblPos val="bestFit"/>
            <c:showLegendKey val="1"/>
            <c:showVal val="0"/>
            <c:showCatName val="0"/>
            <c:showSerName val="1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'📊 Müdürlük Özeti'!$Y$5:$Y$8</c:f>
              <c:strCache>
                <c:ptCount val="4"/>
                <c:pt idx="0">
                  <c:v>Tamamlandı</c:v>
                </c:pt>
                <c:pt idx="1">
                  <c:v>Devam Ediyor</c:v>
                </c:pt>
                <c:pt idx="2">
                  <c:v>Planlandı</c:v>
                </c:pt>
                <c:pt idx="3">
                  <c:v>İptal Edildi</c:v>
                </c:pt>
              </c:strCache>
            </c:strRef>
          </c:cat>
          <c:val>
            <c:numRef>
              <c:f>'📊 Müdürlük Özeti'!$Z$5:$Z$8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78-E34F-AD22-09443BA58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tr-T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tr-TR" sz="1800" b="1" strike="noStrike" spc="-1">
                <a:solidFill>
                  <a:srgbClr val="000000"/>
                </a:solidFill>
                <a:latin typeface="Calibri"/>
              </a:rPr>
              <a:t>Araç Tipi Dağılımı (Adet)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'📊 Müdürlük Özeti'!$W$4</c:f>
              <c:strCache>
                <c:ptCount val="1"/>
                <c:pt idx="0">
                  <c:v>Adet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dPt>
            <c:idx val="0"/>
            <c:bubble3D val="0"/>
            <c:spPr>
              <a:solidFill>
                <a:srgbClr val="1A3A5C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59A3-4961-A941-3F3ECABD9BF4}"/>
              </c:ext>
            </c:extLst>
          </c:dPt>
          <c:dPt>
            <c:idx val="1"/>
            <c:bubble3D val="0"/>
            <c:spPr>
              <a:solidFill>
                <a:srgbClr val="C62828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59A3-4961-A941-3F3ECABD9BF4}"/>
              </c:ext>
            </c:extLst>
          </c:dPt>
          <c:dPt>
            <c:idx val="2"/>
            <c:bubble3D val="0"/>
            <c:spPr>
              <a:solidFill>
                <a:srgbClr val="D4A017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59A3-4961-A941-3F3ECABD9BF4}"/>
              </c:ext>
            </c:extLst>
          </c:dPt>
          <c:dPt>
            <c:idx val="3"/>
            <c:bubble3D val="0"/>
            <c:spPr>
              <a:solidFill>
                <a:srgbClr val="2E7D32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59A3-4961-A941-3F3ECABD9BF4}"/>
              </c:ext>
            </c:extLst>
          </c:dPt>
          <c:dPt>
            <c:idx val="4"/>
            <c:bubble3D val="0"/>
            <c:spPr>
              <a:solidFill>
                <a:srgbClr val="1565C0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59A3-4961-A941-3F3ECABD9BF4}"/>
              </c:ext>
            </c:extLst>
          </c:dPt>
          <c:dPt>
            <c:idx val="5"/>
            <c:bubble3D val="0"/>
            <c:spPr>
              <a:solidFill>
                <a:srgbClr val="6A1B9A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59A3-4961-A941-3F3ECABD9BF4}"/>
              </c:ext>
            </c:extLst>
          </c:dPt>
          <c:dPt>
            <c:idx val="6"/>
            <c:bubble3D val="0"/>
            <c:spPr>
              <a:solidFill>
                <a:srgbClr val="E65100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D-59A3-4961-A941-3F3ECABD9BF4}"/>
              </c:ext>
            </c:extLst>
          </c:dPt>
          <c:dPt>
            <c:idx val="7"/>
            <c:bubble3D val="0"/>
            <c:spPr>
              <a:solidFill>
                <a:srgbClr val="37474F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59A3-4961-A941-3F3ECABD9BF4}"/>
              </c:ext>
            </c:extLst>
          </c:dPt>
          <c:dLbls>
            <c:dLbl>
              <c:idx val="0"/>
              <c:layout>
                <c:manualLayout>
                  <c:x val="-0.33655822847170613"/>
                  <c:y val="0.27553567301227094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tr-TR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13726026282598963"/>
                      <c:h val="0.1321416939821818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59A3-4961-A941-3F3ECABD9BF4}"/>
                </c:ext>
              </c:extLst>
            </c:dLbl>
            <c:dLbl>
              <c:idx val="1"/>
              <c:layout>
                <c:manualLayout>
                  <c:x val="-0.33355975651505915"/>
                  <c:y val="0.77921788325769037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tr-TR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59A3-4961-A941-3F3ECABD9BF4}"/>
                </c:ext>
              </c:extLst>
            </c:dLbl>
            <c:dLbl>
              <c:idx val="2"/>
              <c:layout>
                <c:manualLayout>
                  <c:x val="-0.32671487379029901"/>
                  <c:y val="0.45566035258026555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tr-TR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59A3-4961-A941-3F3ECABD9BF4}"/>
                </c:ext>
              </c:extLst>
            </c:dLbl>
            <c:dLbl>
              <c:idx val="3"/>
              <c:layout>
                <c:manualLayout>
                  <c:x val="0.38490113511534235"/>
                  <c:y val="0.79506219532694566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tr-TR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59A3-4961-A941-3F3ECABD9BF4}"/>
                </c:ext>
              </c:extLst>
            </c:dLbl>
            <c:dLbl>
              <c:idx val="4"/>
              <c:layout>
                <c:manualLayout>
                  <c:x val="-0.32913705908712632"/>
                  <c:y val="5.3370445663136659E-2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tr-TR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1521026079173278"/>
                      <c:h val="0.1321416939821818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59A3-4961-A941-3F3ECABD9BF4}"/>
                </c:ext>
              </c:extLst>
            </c:dLbl>
            <c:dLbl>
              <c:idx val="5"/>
              <c:layout>
                <c:manualLayout>
                  <c:x val="0.24847186622726719"/>
                  <c:y val="0.79923175113464451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tr-TR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59A3-4961-A941-3F3ECABD9BF4}"/>
                </c:ext>
              </c:extLst>
            </c:dLbl>
            <c:dLbl>
              <c:idx val="6"/>
              <c:layout>
                <c:manualLayout>
                  <c:x val="0.15090082191475793"/>
                  <c:y val="0.81090650739620118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tr-TR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59A3-4961-A941-3F3ECABD9BF4}"/>
                </c:ext>
              </c:extLst>
            </c:dLbl>
            <c:dLbl>
              <c:idx val="7"/>
              <c:layout>
                <c:manualLayout>
                  <c:x val="-0.31302733499775942"/>
                  <c:y val="0.60894950832072614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tr-TR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59A3-4961-A941-3F3ECABD9BF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tr-TR"/>
              </a:p>
            </c:txPr>
            <c:dLblPos val="bestFit"/>
            <c:showLegendKey val="1"/>
            <c:showVal val="0"/>
            <c:showCatName val="1"/>
            <c:showSerName val="1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'📊 Müdürlük Özeti'!$T$5:$T$12</c:f>
              <c:strCache>
                <c:ptCount val="8"/>
                <c:pt idx="0">
                  <c:v>Loder</c:v>
                </c:pt>
                <c:pt idx="1">
                  <c:v>Ekskavatör</c:v>
                </c:pt>
                <c:pt idx="2">
                  <c:v>JCB</c:v>
                </c:pt>
                <c:pt idx="3">
                  <c:v>Kamyon</c:v>
                </c:pt>
                <c:pt idx="4">
                  <c:v>Transit</c:v>
                </c:pt>
                <c:pt idx="5">
                  <c:v>Lowbet</c:v>
                </c:pt>
                <c:pt idx="6">
                  <c:v>Vidanjör</c:v>
                </c:pt>
                <c:pt idx="7">
                  <c:v>Oto Karasfalt Finişeri</c:v>
                </c:pt>
              </c:strCache>
            </c:strRef>
          </c:cat>
          <c:val>
            <c:numRef>
              <c:f>'📊 Müdürlük Özeti'!$W$5:$W$12</c:f>
              <c:numCache>
                <c:formatCode>#,##0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73-E24F-A3AF-B8B09089EC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tr-T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213360</xdr:colOff>
      <xdr:row>1</xdr:row>
      <xdr:rowOff>0</xdr:rowOff>
    </xdr:to>
    <xdr:pic>
      <xdr:nvPicPr>
        <xdr:cNvPr id="2" name="Resim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73480" cy="10363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419100</xdr:colOff>
      <xdr:row>0</xdr:row>
      <xdr:rowOff>1036320</xdr:rowOff>
    </xdr:to>
    <xdr:pic>
      <xdr:nvPicPr>
        <xdr:cNvPr id="4" name="Resim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73480" cy="10363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316453</xdr:colOff>
      <xdr:row>0</xdr:row>
      <xdr:rowOff>1066800</xdr:rowOff>
    </xdr:to>
    <xdr:pic>
      <xdr:nvPicPr>
        <xdr:cNvPr id="3" name="Resim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07993" cy="1066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0</xdr:rowOff>
    </xdr:from>
    <xdr:to>
      <xdr:col>4</xdr:col>
      <xdr:colOff>402840</xdr:colOff>
      <xdr:row>36</xdr:row>
      <xdr:rowOff>149760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16</xdr:row>
      <xdr:rowOff>0</xdr:rowOff>
    </xdr:from>
    <xdr:to>
      <xdr:col>11</xdr:col>
      <xdr:colOff>214200</xdr:colOff>
      <xdr:row>36</xdr:row>
      <xdr:rowOff>149760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35</xdr:row>
      <xdr:rowOff>0</xdr:rowOff>
    </xdr:from>
    <xdr:to>
      <xdr:col>4</xdr:col>
      <xdr:colOff>402840</xdr:colOff>
      <xdr:row>55</xdr:row>
      <xdr:rowOff>149760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35</xdr:row>
      <xdr:rowOff>0</xdr:rowOff>
    </xdr:from>
    <xdr:to>
      <xdr:col>11</xdr:col>
      <xdr:colOff>214200</xdr:colOff>
      <xdr:row>55</xdr:row>
      <xdr:rowOff>149760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12</xdr:col>
      <xdr:colOff>0</xdr:colOff>
      <xdr:row>16</xdr:row>
      <xdr:rowOff>0</xdr:rowOff>
    </xdr:from>
    <xdr:to>
      <xdr:col>16</xdr:col>
      <xdr:colOff>480960</xdr:colOff>
      <xdr:row>36</xdr:row>
      <xdr:rowOff>149760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11</xdr:col>
      <xdr:colOff>944880</xdr:colOff>
      <xdr:row>37</xdr:row>
      <xdr:rowOff>99060</xdr:rowOff>
    </xdr:from>
    <xdr:to>
      <xdr:col>19</xdr:col>
      <xdr:colOff>220980</xdr:colOff>
      <xdr:row>58</xdr:row>
      <xdr:rowOff>65940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1173480</xdr:colOff>
      <xdr:row>0</xdr:row>
      <xdr:rowOff>1059180</xdr:rowOff>
    </xdr:to>
    <xdr:pic>
      <xdr:nvPicPr>
        <xdr:cNvPr id="8" name="Resim 7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73480" cy="105918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213360</xdr:colOff>
      <xdr:row>1</xdr:row>
      <xdr:rowOff>60960</xdr:rowOff>
    </xdr:to>
    <xdr:pic>
      <xdr:nvPicPr>
        <xdr:cNvPr id="3" name="Resim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73480" cy="10363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3A5C"/>
  </sheetPr>
  <dimension ref="A1:P54"/>
  <sheetViews>
    <sheetView showGridLines="0" zoomScale="70" zoomScaleNormal="70" workbookViewId="0">
      <pane ySplit="4" topLeftCell="A5" activePane="bottomLeft" state="frozen"/>
      <selection pane="bottomLeft" activeCell="E3" sqref="E3:P3"/>
    </sheetView>
  </sheetViews>
  <sheetFormatPr defaultColWidth="8.6640625" defaultRowHeight="14.4" x14ac:dyDescent="0.3"/>
  <cols>
    <col min="1" max="1" width="14" style="1" customWidth="1"/>
    <col min="2" max="2" width="18" style="1" customWidth="1"/>
    <col min="3" max="3" width="20" style="1" customWidth="1"/>
    <col min="4" max="4" width="12" style="1" customWidth="1"/>
    <col min="5" max="5" width="14" style="1" customWidth="1"/>
    <col min="6" max="6" width="8" style="1" customWidth="1"/>
    <col min="7" max="9" width="14" style="1" customWidth="1"/>
    <col min="10" max="10" width="16" style="1" customWidth="1"/>
    <col min="11" max="11" width="26" style="1" customWidth="1"/>
    <col min="12" max="12" width="20" style="1" customWidth="1"/>
    <col min="13" max="14" width="14" style="1" customWidth="1"/>
    <col min="15" max="15" width="10" style="1" customWidth="1"/>
    <col min="16" max="16" width="25" style="1" customWidth="1"/>
  </cols>
  <sheetData>
    <row r="1" spans="1:16" ht="81.599999999999994" customHeight="1" x14ac:dyDescent="0.3">
      <c r="A1" s="54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</row>
    <row r="2" spans="1:16" ht="19.5" customHeight="1" x14ac:dyDescent="0.3">
      <c r="A2" s="55" t="s">
        <v>112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</row>
    <row r="3" spans="1:16" ht="15.75" customHeight="1" x14ac:dyDescent="0.3">
      <c r="A3" s="56">
        <f ca="1">TODAY()</f>
        <v>46216</v>
      </c>
      <c r="B3" s="56"/>
      <c r="C3" s="56"/>
      <c r="D3" s="56"/>
      <c r="E3" s="70" t="s">
        <v>1</v>
      </c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</row>
    <row r="4" spans="1:16" ht="31.5" customHeight="1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</row>
    <row r="5" spans="1:16" ht="18" customHeight="1" x14ac:dyDescent="0.3">
      <c r="A5" s="3"/>
      <c r="B5" s="47"/>
      <c r="C5" s="4"/>
      <c r="D5" s="47"/>
      <c r="E5" s="47"/>
      <c r="F5" s="47"/>
      <c r="G5" s="5"/>
      <c r="H5" s="5"/>
      <c r="I5" s="47"/>
      <c r="J5" s="47"/>
      <c r="K5" s="47"/>
      <c r="L5" s="4"/>
      <c r="M5" s="5"/>
      <c r="N5" s="5"/>
      <c r="O5" s="47">
        <f>IFERROR(COUNTIF('📋 Görev Formu'!C:C,A5),"")</f>
        <v>0</v>
      </c>
      <c r="P5" s="6"/>
    </row>
    <row r="6" spans="1:16" ht="18" customHeight="1" x14ac:dyDescent="0.3">
      <c r="A6" s="7"/>
      <c r="B6" s="48"/>
      <c r="C6" s="8"/>
      <c r="D6" s="48"/>
      <c r="E6" s="48"/>
      <c r="F6" s="48"/>
      <c r="G6" s="9"/>
      <c r="H6" s="9"/>
      <c r="I6" s="48"/>
      <c r="J6" s="48"/>
      <c r="K6" s="48"/>
      <c r="L6" s="8"/>
      <c r="M6" s="9"/>
      <c r="N6" s="9"/>
      <c r="O6" s="48">
        <f>IFERROR(COUNTIF('📋 Görev Formu'!C:C,A6),"")</f>
        <v>0</v>
      </c>
      <c r="P6" s="10"/>
    </row>
    <row r="7" spans="1:16" ht="18" customHeight="1" x14ac:dyDescent="0.3">
      <c r="A7" s="3"/>
      <c r="B7" s="47"/>
      <c r="C7" s="4"/>
      <c r="D7" s="47"/>
      <c r="E7" s="47"/>
      <c r="F7" s="47"/>
      <c r="G7" s="5"/>
      <c r="H7" s="5"/>
      <c r="I7" s="47"/>
      <c r="J7" s="47"/>
      <c r="K7" s="47"/>
      <c r="L7" s="4"/>
      <c r="M7" s="5"/>
      <c r="N7" s="5"/>
      <c r="O7" s="47">
        <f>IFERROR(COUNTIF('📋 Görev Formu'!C:C,A7),"")</f>
        <v>0</v>
      </c>
      <c r="P7" s="6"/>
    </row>
    <row r="8" spans="1:16" ht="18" customHeight="1" x14ac:dyDescent="0.3">
      <c r="A8" s="7"/>
      <c r="B8" s="48"/>
      <c r="C8" s="8"/>
      <c r="D8" s="48"/>
      <c r="E8" s="48"/>
      <c r="F8" s="48"/>
      <c r="G8" s="9"/>
      <c r="H8" s="9"/>
      <c r="I8" s="48"/>
      <c r="J8" s="48"/>
      <c r="K8" s="48"/>
      <c r="L8" s="8"/>
      <c r="M8" s="9"/>
      <c r="N8" s="9"/>
      <c r="O8" s="48">
        <f>IFERROR(COUNTIF('📋 Görev Formu'!C:C,A8),"")</f>
        <v>0</v>
      </c>
      <c r="P8" s="10"/>
    </row>
    <row r="9" spans="1:16" ht="18" customHeight="1" x14ac:dyDescent="0.3">
      <c r="A9" s="3"/>
      <c r="B9" s="47"/>
      <c r="C9" s="4"/>
      <c r="D9" s="47"/>
      <c r="E9" s="47"/>
      <c r="F9" s="47"/>
      <c r="G9" s="5"/>
      <c r="H9" s="5"/>
      <c r="I9" s="47"/>
      <c r="J9" s="47"/>
      <c r="K9" s="47"/>
      <c r="L9" s="4"/>
      <c r="M9" s="5"/>
      <c r="N9" s="5"/>
      <c r="O9" s="47">
        <f>IFERROR(COUNTIF('📋 Görev Formu'!C:C,A9),"")</f>
        <v>0</v>
      </c>
      <c r="P9" s="6"/>
    </row>
    <row r="10" spans="1:16" ht="18" customHeight="1" x14ac:dyDescent="0.3">
      <c r="A10" s="7"/>
      <c r="B10" s="48"/>
      <c r="C10" s="8"/>
      <c r="D10" s="48"/>
      <c r="E10" s="48"/>
      <c r="F10" s="48"/>
      <c r="G10" s="9"/>
      <c r="H10" s="9"/>
      <c r="I10" s="48"/>
      <c r="J10" s="48"/>
      <c r="K10" s="48"/>
      <c r="L10" s="8"/>
      <c r="M10" s="9"/>
      <c r="N10" s="9"/>
      <c r="O10" s="48">
        <f>IFERROR(COUNTIF('📋 Görev Formu'!C:C,A10),"")</f>
        <v>0</v>
      </c>
      <c r="P10" s="10"/>
    </row>
    <row r="11" spans="1:16" ht="18" customHeight="1" x14ac:dyDescent="0.3">
      <c r="A11" s="3"/>
      <c r="B11" s="47"/>
      <c r="C11" s="4"/>
      <c r="D11" s="47"/>
      <c r="E11" s="47"/>
      <c r="F11" s="47"/>
      <c r="G11" s="5"/>
      <c r="H11" s="5"/>
      <c r="I11" s="47"/>
      <c r="J11" s="47"/>
      <c r="K11" s="47"/>
      <c r="L11" s="4"/>
      <c r="M11" s="5"/>
      <c r="N11" s="5"/>
      <c r="O11" s="47">
        <f>IFERROR(COUNTIF('📋 Görev Formu'!C:C,A11),"")</f>
        <v>0</v>
      </c>
      <c r="P11" s="6"/>
    </row>
    <row r="12" spans="1:16" ht="18" customHeight="1" x14ac:dyDescent="0.3">
      <c r="A12" s="7"/>
      <c r="B12" s="48"/>
      <c r="C12" s="8"/>
      <c r="D12" s="48"/>
      <c r="E12" s="48"/>
      <c r="F12" s="48"/>
      <c r="G12" s="9"/>
      <c r="H12" s="9"/>
      <c r="I12" s="48"/>
      <c r="J12" s="48"/>
      <c r="K12" s="48"/>
      <c r="L12" s="8"/>
      <c r="M12" s="9"/>
      <c r="N12" s="9"/>
      <c r="O12" s="48">
        <f>IFERROR(COUNTIF('📋 Görev Formu'!C:C,A12),"")</f>
        <v>0</v>
      </c>
      <c r="P12" s="10"/>
    </row>
    <row r="13" spans="1:16" ht="18" customHeight="1" x14ac:dyDescent="0.3">
      <c r="A13" s="3"/>
      <c r="B13" s="47"/>
      <c r="C13" s="4"/>
      <c r="D13" s="47"/>
      <c r="E13" s="47"/>
      <c r="F13" s="47"/>
      <c r="G13" s="5"/>
      <c r="H13" s="5"/>
      <c r="I13" s="47"/>
      <c r="J13" s="47"/>
      <c r="K13" s="47"/>
      <c r="L13" s="4"/>
      <c r="M13" s="5"/>
      <c r="N13" s="5"/>
      <c r="O13" s="47">
        <f>IFERROR(COUNTIF('📋 Görev Formu'!C:C,A13),"")</f>
        <v>0</v>
      </c>
      <c r="P13" s="6"/>
    </row>
    <row r="14" spans="1:16" ht="18" customHeight="1" x14ac:dyDescent="0.3">
      <c r="A14" s="7"/>
      <c r="B14" s="48"/>
      <c r="C14" s="8"/>
      <c r="D14" s="48"/>
      <c r="E14" s="48"/>
      <c r="F14" s="48"/>
      <c r="G14" s="9"/>
      <c r="H14" s="9"/>
      <c r="I14" s="48"/>
      <c r="J14" s="48"/>
      <c r="K14" s="48"/>
      <c r="L14" s="8"/>
      <c r="M14" s="9"/>
      <c r="N14" s="9"/>
      <c r="O14" s="48">
        <f>IFERROR(COUNTIF('📋 Görev Formu'!C:C,A14),"")</f>
        <v>0</v>
      </c>
      <c r="P14" s="10"/>
    </row>
    <row r="15" spans="1:16" ht="18" customHeight="1" x14ac:dyDescent="0.3">
      <c r="A15" s="3"/>
      <c r="B15" s="47"/>
      <c r="C15" s="4"/>
      <c r="D15" s="47"/>
      <c r="E15" s="47"/>
      <c r="F15" s="47"/>
      <c r="G15" s="5"/>
      <c r="H15" s="5"/>
      <c r="I15" s="47"/>
      <c r="J15" s="47"/>
      <c r="K15" s="47"/>
      <c r="L15" s="4"/>
      <c r="M15" s="5"/>
      <c r="N15" s="5"/>
      <c r="O15" s="47">
        <f>IFERROR(COUNTIF('📋 Görev Formu'!C:C,A15),"")</f>
        <v>0</v>
      </c>
      <c r="P15" s="6"/>
    </row>
    <row r="16" spans="1:16" ht="18" customHeight="1" x14ac:dyDescent="0.3">
      <c r="A16" s="7"/>
      <c r="B16" s="48"/>
      <c r="C16" s="8"/>
      <c r="D16" s="48"/>
      <c r="E16" s="48"/>
      <c r="F16" s="48"/>
      <c r="G16" s="9"/>
      <c r="H16" s="9"/>
      <c r="I16" s="48"/>
      <c r="J16" s="48"/>
      <c r="K16" s="48"/>
      <c r="L16" s="8"/>
      <c r="M16" s="9"/>
      <c r="N16" s="9"/>
      <c r="O16" s="48">
        <f>IFERROR(COUNTIF('📋 Görev Formu'!C:C,A16),"")</f>
        <v>0</v>
      </c>
      <c r="P16" s="10"/>
    </row>
    <row r="17" spans="1:16" ht="18" customHeight="1" x14ac:dyDescent="0.3">
      <c r="A17" s="3"/>
      <c r="B17" s="47"/>
      <c r="C17" s="4"/>
      <c r="D17" s="47"/>
      <c r="E17" s="47"/>
      <c r="F17" s="47"/>
      <c r="G17" s="5"/>
      <c r="H17" s="5"/>
      <c r="I17" s="47"/>
      <c r="J17" s="47"/>
      <c r="K17" s="47"/>
      <c r="L17" s="4"/>
      <c r="M17" s="5"/>
      <c r="N17" s="5"/>
      <c r="O17" s="47">
        <f>IFERROR(COUNTIF('📋 Görev Formu'!C:C,A17),"")</f>
        <v>0</v>
      </c>
      <c r="P17" s="6"/>
    </row>
    <row r="18" spans="1:16" ht="18" customHeight="1" x14ac:dyDescent="0.3">
      <c r="A18" s="7"/>
      <c r="B18" s="48"/>
      <c r="C18" s="8"/>
      <c r="D18" s="48"/>
      <c r="E18" s="48"/>
      <c r="F18" s="48"/>
      <c r="G18" s="9"/>
      <c r="H18" s="9"/>
      <c r="I18" s="48"/>
      <c r="J18" s="48"/>
      <c r="K18" s="48"/>
      <c r="L18" s="8"/>
      <c r="M18" s="9"/>
      <c r="N18" s="9"/>
      <c r="O18" s="48">
        <f>IFERROR(COUNTIF('📋 Görev Formu'!C:C,A18),"")</f>
        <v>0</v>
      </c>
      <c r="P18" s="10"/>
    </row>
    <row r="19" spans="1:16" ht="18" customHeight="1" x14ac:dyDescent="0.3">
      <c r="A19" s="3"/>
      <c r="B19" s="47"/>
      <c r="C19" s="4"/>
      <c r="D19" s="47"/>
      <c r="E19" s="47"/>
      <c r="F19" s="47"/>
      <c r="G19" s="5"/>
      <c r="H19" s="5"/>
      <c r="I19" s="47"/>
      <c r="J19" s="47"/>
      <c r="K19" s="47"/>
      <c r="L19" s="4"/>
      <c r="M19" s="5"/>
      <c r="N19" s="5"/>
      <c r="O19" s="47">
        <f>IFERROR(COUNTIF('📋 Görev Formu'!C:C,A19),"")</f>
        <v>0</v>
      </c>
      <c r="P19" s="6"/>
    </row>
    <row r="20" spans="1:16" ht="18" customHeight="1" x14ac:dyDescent="0.3">
      <c r="A20" s="7"/>
      <c r="B20" s="48"/>
      <c r="C20" s="8"/>
      <c r="D20" s="48"/>
      <c r="E20" s="48"/>
      <c r="F20" s="48"/>
      <c r="G20" s="9"/>
      <c r="H20" s="9"/>
      <c r="I20" s="48"/>
      <c r="J20" s="48"/>
      <c r="K20" s="48"/>
      <c r="L20" s="8"/>
      <c r="M20" s="9"/>
      <c r="N20" s="9"/>
      <c r="O20" s="48">
        <f>IFERROR(COUNTIF('📋 Görev Formu'!C:C,A20),"")</f>
        <v>0</v>
      </c>
      <c r="P20" s="10"/>
    </row>
    <row r="21" spans="1:16" ht="18" customHeight="1" x14ac:dyDescent="0.3">
      <c r="A21" s="3"/>
      <c r="B21" s="47"/>
      <c r="C21" s="4"/>
      <c r="D21" s="47"/>
      <c r="E21" s="47"/>
      <c r="F21" s="47"/>
      <c r="G21" s="5"/>
      <c r="H21" s="5"/>
      <c r="I21" s="47"/>
      <c r="J21" s="47"/>
      <c r="K21" s="47"/>
      <c r="L21" s="4"/>
      <c r="M21" s="5"/>
      <c r="N21" s="5"/>
      <c r="O21" s="47">
        <f>IFERROR(COUNTIF('📋 Görev Formu'!C:C,A21),"")</f>
        <v>0</v>
      </c>
      <c r="P21" s="6"/>
    </row>
    <row r="22" spans="1:16" ht="18" customHeight="1" x14ac:dyDescent="0.3">
      <c r="A22" s="7"/>
      <c r="B22" s="48"/>
      <c r="C22" s="8"/>
      <c r="D22" s="48"/>
      <c r="E22" s="48"/>
      <c r="F22" s="48"/>
      <c r="G22" s="9"/>
      <c r="H22" s="9"/>
      <c r="I22" s="48"/>
      <c r="J22" s="48"/>
      <c r="K22" s="48"/>
      <c r="L22" s="8"/>
      <c r="M22" s="9"/>
      <c r="N22" s="9"/>
      <c r="O22" s="48">
        <f>IFERROR(COUNTIF('📋 Görev Formu'!C:C,A22),"")</f>
        <v>0</v>
      </c>
      <c r="P22" s="10"/>
    </row>
    <row r="23" spans="1:16" ht="18" customHeight="1" x14ac:dyDescent="0.3">
      <c r="A23" s="3"/>
      <c r="B23" s="47"/>
      <c r="C23" s="4"/>
      <c r="D23" s="47"/>
      <c r="E23" s="47"/>
      <c r="F23" s="47"/>
      <c r="G23" s="5"/>
      <c r="H23" s="5"/>
      <c r="I23" s="47"/>
      <c r="J23" s="47"/>
      <c r="K23" s="47"/>
      <c r="L23" s="4"/>
      <c r="M23" s="5"/>
      <c r="N23" s="5"/>
      <c r="O23" s="47">
        <f>IFERROR(COUNTIF('📋 Görev Formu'!C:C,A23),"")</f>
        <v>0</v>
      </c>
      <c r="P23" s="6"/>
    </row>
    <row r="24" spans="1:16" ht="18" customHeight="1" x14ac:dyDescent="0.3">
      <c r="A24" s="7"/>
      <c r="B24" s="48"/>
      <c r="C24" s="8"/>
      <c r="D24" s="48"/>
      <c r="E24" s="48"/>
      <c r="F24" s="48"/>
      <c r="G24" s="9"/>
      <c r="H24" s="9"/>
      <c r="I24" s="48"/>
      <c r="J24" s="48"/>
      <c r="K24" s="48"/>
      <c r="L24" s="8"/>
      <c r="M24" s="9"/>
      <c r="N24" s="9"/>
      <c r="O24" s="48">
        <f>IFERROR(COUNTIF('📋 Görev Formu'!C:C,A24),"")</f>
        <v>0</v>
      </c>
      <c r="P24" s="10"/>
    </row>
    <row r="25" spans="1:16" ht="18" customHeight="1" x14ac:dyDescent="0.3">
      <c r="A25" s="3"/>
      <c r="B25" s="47"/>
      <c r="C25" s="4"/>
      <c r="D25" s="47"/>
      <c r="E25" s="47"/>
      <c r="F25" s="47"/>
      <c r="G25" s="5"/>
      <c r="H25" s="5"/>
      <c r="I25" s="47"/>
      <c r="J25" s="47"/>
      <c r="K25" s="47"/>
      <c r="L25" s="4"/>
      <c r="M25" s="5"/>
      <c r="N25" s="5"/>
      <c r="O25" s="47">
        <f>IFERROR(COUNTIF('📋 Görev Formu'!C:C,A25),"")</f>
        <v>0</v>
      </c>
      <c r="P25" s="6"/>
    </row>
    <row r="26" spans="1:16" ht="18" customHeight="1" x14ac:dyDescent="0.3">
      <c r="A26" s="7"/>
      <c r="B26" s="48"/>
      <c r="C26" s="8"/>
      <c r="D26" s="48"/>
      <c r="E26" s="48"/>
      <c r="F26" s="48"/>
      <c r="G26" s="9"/>
      <c r="H26" s="9"/>
      <c r="I26" s="48"/>
      <c r="J26" s="48"/>
      <c r="K26" s="48"/>
      <c r="L26" s="8"/>
      <c r="M26" s="9"/>
      <c r="N26" s="9"/>
      <c r="O26" s="48">
        <f>IFERROR(COUNTIF('📋 Görev Formu'!C:C,A26),"")</f>
        <v>0</v>
      </c>
      <c r="P26" s="10"/>
    </row>
    <row r="27" spans="1:16" ht="18" customHeight="1" x14ac:dyDescent="0.3">
      <c r="A27" s="3"/>
      <c r="B27" s="47"/>
      <c r="C27" s="4"/>
      <c r="D27" s="47"/>
      <c r="E27" s="47"/>
      <c r="F27" s="47"/>
      <c r="G27" s="5"/>
      <c r="H27" s="5"/>
      <c r="I27" s="47"/>
      <c r="J27" s="47"/>
      <c r="K27" s="47"/>
      <c r="L27" s="4"/>
      <c r="M27" s="5"/>
      <c r="N27" s="5"/>
      <c r="O27" s="47">
        <f>IFERROR(COUNTIF('📋 Görev Formu'!C:C,A27),"")</f>
        <v>0</v>
      </c>
      <c r="P27" s="6"/>
    </row>
    <row r="28" spans="1:16" ht="18" customHeight="1" x14ac:dyDescent="0.3">
      <c r="A28" s="7"/>
      <c r="B28" s="48"/>
      <c r="C28" s="8"/>
      <c r="D28" s="48"/>
      <c r="E28" s="48"/>
      <c r="F28" s="48"/>
      <c r="G28" s="9"/>
      <c r="H28" s="9"/>
      <c r="I28" s="48"/>
      <c r="J28" s="48"/>
      <c r="K28" s="48"/>
      <c r="L28" s="8"/>
      <c r="M28" s="9"/>
      <c r="N28" s="9"/>
      <c r="O28" s="48">
        <f>IFERROR(COUNTIF('📋 Görev Formu'!C:C,A28),"")</f>
        <v>0</v>
      </c>
      <c r="P28" s="10"/>
    </row>
    <row r="29" spans="1:16" ht="18" customHeight="1" x14ac:dyDescent="0.3">
      <c r="A29" s="3"/>
      <c r="B29" s="47"/>
      <c r="C29" s="4"/>
      <c r="D29" s="47"/>
      <c r="E29" s="47"/>
      <c r="F29" s="47"/>
      <c r="G29" s="5"/>
      <c r="H29" s="5"/>
      <c r="I29" s="47"/>
      <c r="J29" s="47"/>
      <c r="K29" s="47"/>
      <c r="L29" s="4"/>
      <c r="M29" s="5"/>
      <c r="N29" s="5"/>
      <c r="O29" s="47">
        <f>IFERROR(COUNTIF('📋 Görev Formu'!C:C,A29),"")</f>
        <v>0</v>
      </c>
      <c r="P29" s="6"/>
    </row>
    <row r="30" spans="1:16" ht="18" customHeight="1" x14ac:dyDescent="0.3">
      <c r="A30" s="7"/>
      <c r="B30" s="48"/>
      <c r="C30" s="8"/>
      <c r="D30" s="48"/>
      <c r="E30" s="48"/>
      <c r="F30" s="48"/>
      <c r="G30" s="9"/>
      <c r="H30" s="9"/>
      <c r="I30" s="48"/>
      <c r="J30" s="48"/>
      <c r="K30" s="48"/>
      <c r="L30" s="8"/>
      <c r="M30" s="9"/>
      <c r="N30" s="9"/>
      <c r="O30" s="48">
        <f>IFERROR(COUNTIF('📋 Görev Formu'!C:C,A30),"")</f>
        <v>0</v>
      </c>
      <c r="P30" s="10"/>
    </row>
    <row r="31" spans="1:16" ht="18" customHeight="1" x14ac:dyDescent="0.3">
      <c r="A31" s="3"/>
      <c r="B31" s="47"/>
      <c r="C31" s="4"/>
      <c r="D31" s="47"/>
      <c r="E31" s="47"/>
      <c r="F31" s="47"/>
      <c r="G31" s="5"/>
      <c r="H31" s="5"/>
      <c r="I31" s="47"/>
      <c r="J31" s="47"/>
      <c r="K31" s="47"/>
      <c r="L31" s="4"/>
      <c r="M31" s="5"/>
      <c r="N31" s="5"/>
      <c r="O31" s="47">
        <f>IFERROR(COUNTIF('📋 Görev Formu'!C:C,A31),"")</f>
        <v>0</v>
      </c>
      <c r="P31" s="6"/>
    </row>
    <row r="32" spans="1:16" ht="18" customHeight="1" x14ac:dyDescent="0.3">
      <c r="A32" s="7"/>
      <c r="B32" s="48"/>
      <c r="C32" s="8"/>
      <c r="D32" s="48"/>
      <c r="E32" s="48"/>
      <c r="F32" s="48"/>
      <c r="G32" s="9"/>
      <c r="H32" s="9"/>
      <c r="I32" s="48"/>
      <c r="J32" s="48"/>
      <c r="K32" s="48"/>
      <c r="L32" s="8"/>
      <c r="M32" s="9"/>
      <c r="N32" s="9"/>
      <c r="O32" s="48">
        <f>IFERROR(COUNTIF('📋 Görev Formu'!C:C,A32),"")</f>
        <v>0</v>
      </c>
      <c r="P32" s="10"/>
    </row>
    <row r="33" spans="1:16" ht="18" customHeight="1" x14ac:dyDescent="0.3">
      <c r="A33" s="3"/>
      <c r="B33" s="47"/>
      <c r="C33" s="4"/>
      <c r="D33" s="47"/>
      <c r="E33" s="47"/>
      <c r="F33" s="47"/>
      <c r="G33" s="5"/>
      <c r="H33" s="5"/>
      <c r="I33" s="47"/>
      <c r="J33" s="47"/>
      <c r="K33" s="47"/>
      <c r="L33" s="4"/>
      <c r="M33" s="5"/>
      <c r="N33" s="5"/>
      <c r="O33" s="47">
        <f>IFERROR(COUNTIF('📋 Görev Formu'!C:C,A33),"")</f>
        <v>0</v>
      </c>
      <c r="P33" s="6"/>
    </row>
    <row r="34" spans="1:16" ht="18" customHeight="1" x14ac:dyDescent="0.3">
      <c r="A34" s="7"/>
      <c r="B34" s="48"/>
      <c r="C34" s="8"/>
      <c r="D34" s="48"/>
      <c r="E34" s="48"/>
      <c r="F34" s="48"/>
      <c r="G34" s="9"/>
      <c r="H34" s="9"/>
      <c r="I34" s="48"/>
      <c r="J34" s="48"/>
      <c r="K34" s="48"/>
      <c r="L34" s="8"/>
      <c r="M34" s="9"/>
      <c r="N34" s="9"/>
      <c r="O34" s="48">
        <f>IFERROR(COUNTIF('📋 Görev Formu'!C:C,A34),"")</f>
        <v>0</v>
      </c>
      <c r="P34" s="10"/>
    </row>
    <row r="35" spans="1:16" ht="18" customHeight="1" x14ac:dyDescent="0.3">
      <c r="A35" s="3"/>
      <c r="B35" s="47"/>
      <c r="C35" s="4"/>
      <c r="D35" s="47"/>
      <c r="E35" s="47"/>
      <c r="F35" s="47"/>
      <c r="G35" s="5"/>
      <c r="H35" s="5"/>
      <c r="I35" s="47"/>
      <c r="J35" s="47"/>
      <c r="K35" s="47"/>
      <c r="L35" s="4"/>
      <c r="M35" s="5"/>
      <c r="N35" s="5"/>
      <c r="O35" s="47">
        <f>IFERROR(COUNTIF('📋 Görev Formu'!C:C,A35),"")</f>
        <v>0</v>
      </c>
      <c r="P35" s="6"/>
    </row>
    <row r="36" spans="1:16" ht="18" customHeight="1" x14ac:dyDescent="0.3">
      <c r="A36" s="7"/>
      <c r="B36" s="48"/>
      <c r="C36" s="8"/>
      <c r="D36" s="48"/>
      <c r="E36" s="48"/>
      <c r="F36" s="48"/>
      <c r="G36" s="9"/>
      <c r="H36" s="9"/>
      <c r="I36" s="48"/>
      <c r="J36" s="48"/>
      <c r="K36" s="48"/>
      <c r="L36" s="8"/>
      <c r="M36" s="9"/>
      <c r="N36" s="9"/>
      <c r="O36" s="48">
        <f>IFERROR(COUNTIF('📋 Görev Formu'!C:C,A36),"")</f>
        <v>0</v>
      </c>
      <c r="P36" s="10"/>
    </row>
    <row r="37" spans="1:16" ht="18" customHeight="1" x14ac:dyDescent="0.3">
      <c r="A37" s="3"/>
      <c r="B37" s="47"/>
      <c r="C37" s="4"/>
      <c r="D37" s="47"/>
      <c r="E37" s="47"/>
      <c r="F37" s="47"/>
      <c r="G37" s="5"/>
      <c r="H37" s="5"/>
      <c r="I37" s="47"/>
      <c r="J37" s="47"/>
      <c r="K37" s="47"/>
      <c r="L37" s="4"/>
      <c r="M37" s="5"/>
      <c r="N37" s="5"/>
      <c r="O37" s="47">
        <f>IFERROR(COUNTIF('📋 Görev Formu'!C:C,A37),"")</f>
        <v>0</v>
      </c>
      <c r="P37" s="6"/>
    </row>
    <row r="38" spans="1:16" ht="18" customHeight="1" x14ac:dyDescent="0.3">
      <c r="A38" s="7"/>
      <c r="B38" s="48"/>
      <c r="C38" s="8"/>
      <c r="D38" s="48"/>
      <c r="E38" s="48"/>
      <c r="F38" s="48"/>
      <c r="G38" s="9"/>
      <c r="H38" s="9"/>
      <c r="I38" s="48"/>
      <c r="J38" s="48"/>
      <c r="K38" s="48"/>
      <c r="L38" s="8"/>
      <c r="M38" s="9"/>
      <c r="N38" s="9"/>
      <c r="O38" s="48">
        <f>IFERROR(COUNTIF('📋 Görev Formu'!C:C,A38),"")</f>
        <v>0</v>
      </c>
      <c r="P38" s="10"/>
    </row>
    <row r="39" spans="1:16" ht="18" customHeight="1" x14ac:dyDescent="0.3">
      <c r="A39" s="3"/>
      <c r="B39" s="47"/>
      <c r="C39" s="4"/>
      <c r="D39" s="47"/>
      <c r="E39" s="47"/>
      <c r="F39" s="47"/>
      <c r="G39" s="5"/>
      <c r="H39" s="5"/>
      <c r="I39" s="47"/>
      <c r="J39" s="47"/>
      <c r="K39" s="47"/>
      <c r="L39" s="4"/>
      <c r="M39" s="5"/>
      <c r="N39" s="5"/>
      <c r="O39" s="47">
        <f>IFERROR(COUNTIF('📋 Görev Formu'!C:C,A39),"")</f>
        <v>0</v>
      </c>
      <c r="P39" s="6"/>
    </row>
    <row r="40" spans="1:16" ht="18" customHeight="1" x14ac:dyDescent="0.3">
      <c r="A40" s="7"/>
      <c r="B40" s="48"/>
      <c r="C40" s="8"/>
      <c r="D40" s="48"/>
      <c r="E40" s="48"/>
      <c r="F40" s="48"/>
      <c r="G40" s="9"/>
      <c r="H40" s="9"/>
      <c r="I40" s="48"/>
      <c r="J40" s="48"/>
      <c r="K40" s="48"/>
      <c r="L40" s="8"/>
      <c r="M40" s="9"/>
      <c r="N40" s="9"/>
      <c r="O40" s="48">
        <f>IFERROR(COUNTIF('📋 Görev Formu'!C:C,A40),"")</f>
        <v>0</v>
      </c>
      <c r="P40" s="10"/>
    </row>
    <row r="41" spans="1:16" ht="18" customHeight="1" x14ac:dyDescent="0.3">
      <c r="A41" s="3"/>
      <c r="B41" s="47"/>
      <c r="C41" s="4"/>
      <c r="D41" s="47"/>
      <c r="E41" s="47"/>
      <c r="F41" s="47"/>
      <c r="G41" s="5"/>
      <c r="H41" s="5"/>
      <c r="I41" s="47"/>
      <c r="J41" s="47"/>
      <c r="K41" s="47"/>
      <c r="L41" s="4"/>
      <c r="M41" s="5"/>
      <c r="N41" s="5"/>
      <c r="O41" s="47">
        <f>IFERROR(COUNTIF('📋 Görev Formu'!C:C,A41),"")</f>
        <v>0</v>
      </c>
      <c r="P41" s="6"/>
    </row>
    <row r="42" spans="1:16" ht="18" customHeight="1" x14ac:dyDescent="0.3">
      <c r="A42" s="7"/>
      <c r="B42" s="48"/>
      <c r="C42" s="8"/>
      <c r="D42" s="48"/>
      <c r="E42" s="48"/>
      <c r="F42" s="48"/>
      <c r="G42" s="9"/>
      <c r="H42" s="9"/>
      <c r="I42" s="48"/>
      <c r="J42" s="48"/>
      <c r="K42" s="48"/>
      <c r="L42" s="8"/>
      <c r="M42" s="9"/>
      <c r="N42" s="9"/>
      <c r="O42" s="48">
        <f>IFERROR(COUNTIF('📋 Görev Formu'!C:C,A42),"")</f>
        <v>0</v>
      </c>
      <c r="P42" s="10"/>
    </row>
    <row r="43" spans="1:16" ht="18" customHeight="1" x14ac:dyDescent="0.3">
      <c r="A43" s="3"/>
      <c r="B43" s="47"/>
      <c r="C43" s="4"/>
      <c r="D43" s="47"/>
      <c r="E43" s="47"/>
      <c r="F43" s="47"/>
      <c r="G43" s="5"/>
      <c r="H43" s="5"/>
      <c r="I43" s="47"/>
      <c r="J43" s="47"/>
      <c r="K43" s="47"/>
      <c r="L43" s="4"/>
      <c r="M43" s="5"/>
      <c r="N43" s="5"/>
      <c r="O43" s="47">
        <f>IFERROR(COUNTIF('📋 Görev Formu'!C:C,A43),"")</f>
        <v>0</v>
      </c>
      <c r="P43" s="6"/>
    </row>
    <row r="44" spans="1:16" ht="18" customHeight="1" x14ac:dyDescent="0.3">
      <c r="A44" s="7"/>
      <c r="B44" s="48"/>
      <c r="C44" s="8"/>
      <c r="D44" s="48"/>
      <c r="E44" s="48"/>
      <c r="F44" s="48"/>
      <c r="G44" s="9"/>
      <c r="H44" s="9"/>
      <c r="I44" s="48"/>
      <c r="J44" s="48"/>
      <c r="K44" s="48"/>
      <c r="L44" s="8"/>
      <c r="M44" s="9"/>
      <c r="N44" s="9"/>
      <c r="O44" s="48">
        <f>IFERROR(COUNTIF('📋 Görev Formu'!C:C,A44),"")</f>
        <v>0</v>
      </c>
      <c r="P44" s="10"/>
    </row>
    <row r="45" spans="1:16" ht="18" customHeight="1" x14ac:dyDescent="0.3">
      <c r="A45" s="3"/>
      <c r="B45" s="47"/>
      <c r="C45" s="4"/>
      <c r="D45" s="47"/>
      <c r="E45" s="47"/>
      <c r="F45" s="47"/>
      <c r="G45" s="5"/>
      <c r="H45" s="5"/>
      <c r="I45" s="47"/>
      <c r="J45" s="47"/>
      <c r="K45" s="47"/>
      <c r="L45" s="4"/>
      <c r="M45" s="5"/>
      <c r="N45" s="5"/>
      <c r="O45" s="47">
        <f>IFERROR(COUNTIF('📋 Görev Formu'!C:C,A45),"")</f>
        <v>0</v>
      </c>
      <c r="P45" s="6"/>
    </row>
    <row r="46" spans="1:16" ht="18" customHeight="1" x14ac:dyDescent="0.3">
      <c r="A46" s="7"/>
      <c r="B46" s="48"/>
      <c r="C46" s="8"/>
      <c r="D46" s="48"/>
      <c r="E46" s="48"/>
      <c r="F46" s="48"/>
      <c r="G46" s="9"/>
      <c r="H46" s="9"/>
      <c r="I46" s="48"/>
      <c r="J46" s="48"/>
      <c r="K46" s="48"/>
      <c r="L46" s="8"/>
      <c r="M46" s="9"/>
      <c r="N46" s="9"/>
      <c r="O46" s="48">
        <f>IFERROR(COUNTIF('📋 Görev Formu'!C:C,A46),"")</f>
        <v>0</v>
      </c>
      <c r="P46" s="10"/>
    </row>
    <row r="47" spans="1:16" ht="18" customHeight="1" x14ac:dyDescent="0.3">
      <c r="A47" s="3"/>
      <c r="B47" s="47"/>
      <c r="C47" s="4"/>
      <c r="D47" s="47"/>
      <c r="E47" s="47"/>
      <c r="F47" s="47"/>
      <c r="G47" s="5"/>
      <c r="H47" s="5"/>
      <c r="I47" s="47"/>
      <c r="J47" s="47"/>
      <c r="K47" s="47"/>
      <c r="L47" s="4"/>
      <c r="M47" s="5"/>
      <c r="N47" s="5"/>
      <c r="O47" s="47">
        <f>IFERROR(COUNTIF('📋 Görev Formu'!C:C,A47),"")</f>
        <v>0</v>
      </c>
      <c r="P47" s="6"/>
    </row>
    <row r="48" spans="1:16" ht="18" customHeight="1" x14ac:dyDescent="0.3">
      <c r="A48" s="7"/>
      <c r="B48" s="48"/>
      <c r="C48" s="8"/>
      <c r="D48" s="48"/>
      <c r="E48" s="48"/>
      <c r="F48" s="48"/>
      <c r="G48" s="9"/>
      <c r="H48" s="9"/>
      <c r="I48" s="48"/>
      <c r="J48" s="48"/>
      <c r="K48" s="48"/>
      <c r="L48" s="8"/>
      <c r="M48" s="9"/>
      <c r="N48" s="9"/>
      <c r="O48" s="48">
        <f>IFERROR(COUNTIF('📋 Görev Formu'!C:C,A48),"")</f>
        <v>0</v>
      </c>
      <c r="P48" s="10"/>
    </row>
    <row r="49" spans="1:16" ht="18" customHeight="1" x14ac:dyDescent="0.3">
      <c r="A49" s="3"/>
      <c r="B49" s="47"/>
      <c r="C49" s="4"/>
      <c r="D49" s="47"/>
      <c r="E49" s="47"/>
      <c r="F49" s="47"/>
      <c r="G49" s="5"/>
      <c r="H49" s="5"/>
      <c r="I49" s="47"/>
      <c r="J49" s="47"/>
      <c r="K49" s="47"/>
      <c r="L49" s="4"/>
      <c r="M49" s="5"/>
      <c r="N49" s="5"/>
      <c r="O49" s="47">
        <f>IFERROR(COUNTIF('📋 Görev Formu'!C:C,A49),"")</f>
        <v>0</v>
      </c>
      <c r="P49" s="6"/>
    </row>
    <row r="50" spans="1:16" ht="18" customHeight="1" x14ac:dyDescent="0.3">
      <c r="A50" s="7"/>
      <c r="B50" s="48"/>
      <c r="C50" s="8"/>
      <c r="D50" s="48"/>
      <c r="E50" s="48"/>
      <c r="F50" s="48"/>
      <c r="G50" s="9"/>
      <c r="H50" s="9"/>
      <c r="I50" s="48"/>
      <c r="J50" s="48"/>
      <c r="K50" s="48"/>
      <c r="L50" s="8"/>
      <c r="M50" s="9"/>
      <c r="N50" s="9"/>
      <c r="O50" s="48">
        <f>IFERROR(COUNTIF('📋 Görev Formu'!C:C,A50),"")</f>
        <v>0</v>
      </c>
      <c r="P50" s="10"/>
    </row>
    <row r="51" spans="1:16" ht="18" customHeight="1" x14ac:dyDescent="0.3">
      <c r="A51" s="3"/>
      <c r="B51" s="47"/>
      <c r="C51" s="4"/>
      <c r="D51" s="47"/>
      <c r="E51" s="47"/>
      <c r="F51" s="47"/>
      <c r="G51" s="5"/>
      <c r="H51" s="5"/>
      <c r="I51" s="47"/>
      <c r="J51" s="47"/>
      <c r="K51" s="47"/>
      <c r="L51" s="4"/>
      <c r="M51" s="5"/>
      <c r="N51" s="5"/>
      <c r="O51" s="47">
        <f>IFERROR(COUNTIF('📋 Görev Formu'!C:C,A51),"")</f>
        <v>0</v>
      </c>
      <c r="P51" s="6"/>
    </row>
    <row r="52" spans="1:16" ht="18" customHeight="1" x14ac:dyDescent="0.3">
      <c r="A52" s="7"/>
      <c r="B52" s="48"/>
      <c r="C52" s="8"/>
      <c r="D52" s="48"/>
      <c r="E52" s="48"/>
      <c r="F52" s="48"/>
      <c r="G52" s="9"/>
      <c r="H52" s="9"/>
      <c r="I52" s="48"/>
      <c r="J52" s="48"/>
      <c r="K52" s="48"/>
      <c r="L52" s="8"/>
      <c r="M52" s="9"/>
      <c r="N52" s="9"/>
      <c r="O52" s="48">
        <f>IFERROR(COUNTIF('📋 Görev Formu'!C:C,A52),"")</f>
        <v>0</v>
      </c>
      <c r="P52" s="10"/>
    </row>
    <row r="53" spans="1:16" ht="18" customHeight="1" x14ac:dyDescent="0.3">
      <c r="A53" s="3"/>
      <c r="B53" s="47"/>
      <c r="C53" s="4"/>
      <c r="D53" s="47"/>
      <c r="E53" s="47"/>
      <c r="F53" s="47"/>
      <c r="G53" s="5"/>
      <c r="H53" s="5"/>
      <c r="I53" s="47"/>
      <c r="J53" s="47"/>
      <c r="K53" s="47"/>
      <c r="L53" s="4"/>
      <c r="M53" s="5"/>
      <c r="N53" s="5"/>
      <c r="O53" s="47">
        <f>IFERROR(COUNTIF('📋 Görev Formu'!C:C,A53),"")</f>
        <v>0</v>
      </c>
      <c r="P53" s="6"/>
    </row>
    <row r="54" spans="1:16" ht="18" customHeight="1" x14ac:dyDescent="0.3">
      <c r="A54" s="7"/>
      <c r="B54" s="48"/>
      <c r="C54" s="8"/>
      <c r="D54" s="48"/>
      <c r="E54" s="48"/>
      <c r="F54" s="48"/>
      <c r="G54" s="9"/>
      <c r="H54" s="9"/>
      <c r="I54" s="48"/>
      <c r="J54" s="48"/>
      <c r="K54" s="48"/>
      <c r="L54" s="8"/>
      <c r="M54" s="9"/>
      <c r="N54" s="9"/>
      <c r="O54" s="48">
        <f>IFERROR(COUNTIF('📋 Görev Formu'!C:C,A54),"")</f>
        <v>0</v>
      </c>
      <c r="P54" s="10"/>
    </row>
  </sheetData>
  <mergeCells count="4">
    <mergeCell ref="A1:P1"/>
    <mergeCell ref="A2:P2"/>
    <mergeCell ref="A3:D3"/>
    <mergeCell ref="E3:P3"/>
  </mergeCells>
  <conditionalFormatting sqref="G5:G500">
    <cfRule type="expression" dxfId="14" priority="7">
      <formula>AND(G5&lt;&gt;"",G5-TODAY()&lt;30,G5-TODAY()&gt;0)</formula>
    </cfRule>
    <cfRule type="expression" dxfId="13" priority="8">
      <formula>AND(G5&lt;&gt;"",G5-TODAY()&lt;0)</formula>
    </cfRule>
  </conditionalFormatting>
  <conditionalFormatting sqref="J5:J500">
    <cfRule type="expression" dxfId="12" priority="2">
      <formula>J5="✅ Müsait"</formula>
    </cfRule>
    <cfRule type="expression" dxfId="11" priority="3">
      <formula>J5="🔴 Görevde"</formula>
    </cfRule>
    <cfRule type="expression" dxfId="10" priority="4">
      <formula>J5="🔧 Bakımda"</formula>
    </cfRule>
    <cfRule type="expression" dxfId="9" priority="5">
      <formula>J5="⛔ Arızalı"</formula>
    </cfRule>
    <cfRule type="expression" dxfId="8" priority="6">
      <formula>J5="📋 Planlı Bakım"</formula>
    </cfRule>
  </conditionalFormatting>
  <dataValidations count="4">
    <dataValidation type="list" allowBlank="1" errorTitle="Geçersiz Değer" error="Lütfen listeden seçin" sqref="J5:J500">
      <formula1>"✅ Müsait,🔴 Görevde,🔧 Bakımda,⛔ Arızalı,📋 Planlı Bakım"</formula1>
      <formula2>0</formula2>
    </dataValidation>
    <dataValidation type="list" allowBlank="1" sqref="K5:K500">
      <formula1>"Fen İşleri Müdürlüğü,Su ve Kanalizasyon Müdürlüğü,Temizlik İşleri Müdürlüğü,Park ve Bahçeler Müdürlüğü,Zabıta Müdürlüğü,Yazı İşleri Müdürlüğü,Kültür ve Sosyal İşler Müdürlüğü,Diğer"</formula1>
      <formula2>0</formula2>
    </dataValidation>
    <dataValidation type="list" allowBlank="1" sqref="D5:D500">
      <formula1>"Dizel,Benzin,LPG,Elektrik,Hibrit"</formula1>
      <formula2>0</formula2>
    </dataValidation>
    <dataValidation type="list" allowBlank="1" sqref="B5:B500">
      <formula1>"Loder,Ekskavatör,JCB,Kamyon,Transit,Lowbet,Vidanjör,Oto Karasfalt Finişeri,Diğer"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4A017"/>
  </sheetPr>
  <dimension ref="A1:R104"/>
  <sheetViews>
    <sheetView showGridLines="0" tabSelected="1" zoomScale="70" zoomScaleNormal="70" workbookViewId="0">
      <pane ySplit="4" topLeftCell="A5" activePane="bottomLeft" state="frozen"/>
      <selection pane="bottomLeft" activeCell="C5" sqref="C5"/>
    </sheetView>
  </sheetViews>
  <sheetFormatPr defaultColWidth="8.6640625" defaultRowHeight="14.4" x14ac:dyDescent="0.3"/>
  <cols>
    <col min="1" max="1" width="11" style="1" customWidth="1"/>
    <col min="2" max="2" width="13" style="1" customWidth="1"/>
    <col min="3" max="3" width="15" style="1" customWidth="1"/>
    <col min="4" max="4" width="18" style="1" customWidth="1"/>
    <col min="5" max="5" width="26" style="1" customWidth="1"/>
    <col min="6" max="6" width="22" style="1" customWidth="1"/>
    <col min="7" max="7" width="28" style="1" customWidth="1"/>
    <col min="8" max="8" width="13" style="1" customWidth="1"/>
    <col min="9" max="9" width="10" style="1" customWidth="1"/>
    <col min="10" max="10" width="13" style="1" customWidth="1"/>
    <col min="11" max="12" width="10" style="1" customWidth="1"/>
    <col min="13" max="13" width="20" style="1" customWidth="1"/>
    <col min="14" max="14" width="12" style="1" customWidth="1"/>
    <col min="15" max="15" width="18" style="1" customWidth="1"/>
    <col min="16" max="16" width="16" style="1" customWidth="1"/>
    <col min="17" max="17" width="22" style="1" customWidth="1"/>
    <col min="18" max="18" width="13" style="1" customWidth="1"/>
  </cols>
  <sheetData>
    <row r="1" spans="1:18" ht="83.4" customHeight="1" x14ac:dyDescent="0.3">
      <c r="A1" s="54" t="s">
        <v>18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</row>
    <row r="2" spans="1:18" ht="18" customHeight="1" x14ac:dyDescent="0.3">
      <c r="A2" s="55" t="s">
        <v>19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</row>
    <row r="3" spans="1:18" ht="15.75" customHeight="1" x14ac:dyDescent="0.3">
      <c r="A3" s="56">
        <f ca="1">TODAY()</f>
        <v>46216</v>
      </c>
      <c r="B3" s="56"/>
      <c r="C3" s="56"/>
      <c r="D3" s="56"/>
      <c r="E3" s="69" t="s">
        <v>20</v>
      </c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</row>
    <row r="4" spans="1:18" ht="31.5" customHeight="1" x14ac:dyDescent="0.3">
      <c r="A4" s="2" t="s">
        <v>21</v>
      </c>
      <c r="B4" s="2" t="s">
        <v>22</v>
      </c>
      <c r="C4" s="2" t="s">
        <v>2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27</v>
      </c>
      <c r="I4" s="2" t="s">
        <v>28</v>
      </c>
      <c r="J4" s="2" t="s">
        <v>29</v>
      </c>
      <c r="K4" s="2" t="s">
        <v>30</v>
      </c>
      <c r="L4" s="2" t="s">
        <v>31</v>
      </c>
      <c r="M4" s="2" t="s">
        <v>32</v>
      </c>
      <c r="N4" s="2" t="s">
        <v>33</v>
      </c>
      <c r="O4" s="2" t="s">
        <v>34</v>
      </c>
      <c r="P4" s="2" t="s">
        <v>35</v>
      </c>
      <c r="Q4" s="2" t="s">
        <v>36</v>
      </c>
      <c r="R4" s="2" t="s">
        <v>37</v>
      </c>
    </row>
    <row r="5" spans="1:18" ht="18" customHeight="1" x14ac:dyDescent="0.3">
      <c r="A5" s="47"/>
      <c r="B5" s="5"/>
      <c r="C5" s="47"/>
      <c r="D5" s="11" t="str">
        <f ca="1">IFERROR(VLOOKUP(C5,'🚜 Araç Havuzu'!$A:$B,2,0),"")</f>
        <v/>
      </c>
      <c r="E5" s="6"/>
      <c r="F5" s="6"/>
      <c r="G5" s="6"/>
      <c r="H5" s="5"/>
      <c r="I5" s="47"/>
      <c r="J5" s="5"/>
      <c r="K5" s="47"/>
      <c r="L5" s="12"/>
      <c r="M5" s="13" t="str">
        <f ca="1">IFERROR(VLOOKUP(C5,'🚜 Araç Havuzu'!$A:$L,12,0),"")</f>
        <v/>
      </c>
      <c r="N5" s="47"/>
      <c r="O5" s="47"/>
      <c r="P5" s="47"/>
      <c r="Q5" s="6"/>
      <c r="R5" s="14"/>
    </row>
    <row r="6" spans="1:18" ht="18" customHeight="1" x14ac:dyDescent="0.3">
      <c r="A6" s="48"/>
      <c r="B6" s="9"/>
      <c r="C6" s="48"/>
      <c r="D6" s="15" t="str">
        <f ca="1">IFERROR(VLOOKUP(C6,'🚜 Araç Havuzu'!$A:$B,2,0),"")</f>
        <v/>
      </c>
      <c r="E6" s="10"/>
      <c r="F6" s="10"/>
      <c r="G6" s="10"/>
      <c r="H6" s="9"/>
      <c r="I6" s="48"/>
      <c r="J6" s="9"/>
      <c r="K6" s="48"/>
      <c r="L6" s="16"/>
      <c r="M6" s="17" t="str">
        <f ca="1">IFERROR(VLOOKUP(C6,'🚜 Araç Havuzu'!$A:$L,12,0),"")</f>
        <v/>
      </c>
      <c r="N6" s="48"/>
      <c r="O6" s="48"/>
      <c r="P6" s="48"/>
      <c r="Q6" s="10"/>
      <c r="R6" s="18"/>
    </row>
    <row r="7" spans="1:18" ht="18" customHeight="1" x14ac:dyDescent="0.3">
      <c r="A7" s="47"/>
      <c r="B7" s="5"/>
      <c r="C7" s="47"/>
      <c r="D7" s="11" t="str">
        <f ca="1">IFERROR(VLOOKUP(C7,'🚜 Araç Havuzu'!$A:$B,2,0),"")</f>
        <v/>
      </c>
      <c r="E7" s="6"/>
      <c r="F7" s="6"/>
      <c r="G7" s="6"/>
      <c r="H7" s="5"/>
      <c r="I7" s="47"/>
      <c r="J7" s="5"/>
      <c r="K7" s="47"/>
      <c r="L7" s="12"/>
      <c r="M7" s="13" t="str">
        <f ca="1">IFERROR(VLOOKUP(C7,'🚜 Araç Havuzu'!$A:$L,12,0),"")</f>
        <v/>
      </c>
      <c r="N7" s="47"/>
      <c r="O7" s="47"/>
      <c r="P7" s="47"/>
      <c r="Q7" s="6"/>
      <c r="R7" s="14"/>
    </row>
    <row r="8" spans="1:18" ht="18" customHeight="1" x14ac:dyDescent="0.3">
      <c r="A8" s="48"/>
      <c r="B8" s="9"/>
      <c r="C8" s="48"/>
      <c r="D8" s="15" t="str">
        <f ca="1">IFERROR(VLOOKUP(C8,'🚜 Araç Havuzu'!$A:$B,2,0),"")</f>
        <v/>
      </c>
      <c r="E8" s="10"/>
      <c r="F8" s="10"/>
      <c r="G8" s="10"/>
      <c r="H8" s="9"/>
      <c r="I8" s="48"/>
      <c r="J8" s="9"/>
      <c r="K8" s="48"/>
      <c r="L8" s="16"/>
      <c r="M8" s="17" t="str">
        <f ca="1">IFERROR(VLOOKUP(C8,'🚜 Araç Havuzu'!$A:$L,12,0),"")</f>
        <v/>
      </c>
      <c r="N8" s="48"/>
      <c r="O8" s="48"/>
      <c r="P8" s="48"/>
      <c r="Q8" s="10"/>
      <c r="R8" s="18"/>
    </row>
    <row r="9" spans="1:18" ht="18" customHeight="1" x14ac:dyDescent="0.3">
      <c r="A9" s="47"/>
      <c r="B9" s="5"/>
      <c r="C9" s="47"/>
      <c r="D9" s="11" t="str">
        <f ca="1">IFERROR(VLOOKUP(C9,'🚜 Araç Havuzu'!$A:$B,2,0),"")</f>
        <v/>
      </c>
      <c r="E9" s="6"/>
      <c r="F9" s="6"/>
      <c r="G9" s="6"/>
      <c r="H9" s="5"/>
      <c r="I9" s="47"/>
      <c r="J9" s="5"/>
      <c r="K9" s="47"/>
      <c r="L9" s="12"/>
      <c r="M9" s="13" t="str">
        <f ca="1">IFERROR(VLOOKUP(C9,'🚜 Araç Havuzu'!$A:$L,12,0),"")</f>
        <v/>
      </c>
      <c r="N9" s="47"/>
      <c r="O9" s="47"/>
      <c r="P9" s="47"/>
      <c r="Q9" s="6"/>
      <c r="R9" s="14"/>
    </row>
    <row r="10" spans="1:18" ht="18" customHeight="1" x14ac:dyDescent="0.3">
      <c r="A10" s="48"/>
      <c r="B10" s="9"/>
      <c r="C10" s="48"/>
      <c r="D10" s="15" t="str">
        <f ca="1">IFERROR(VLOOKUP(C10,'🚜 Araç Havuzu'!$A:$B,2,0),"")</f>
        <v/>
      </c>
      <c r="E10" s="10"/>
      <c r="F10" s="10"/>
      <c r="G10" s="10"/>
      <c r="H10" s="9"/>
      <c r="I10" s="48"/>
      <c r="J10" s="9"/>
      <c r="K10" s="48"/>
      <c r="L10" s="16"/>
      <c r="M10" s="17" t="str">
        <f ca="1">IFERROR(VLOOKUP(C10,'🚜 Araç Havuzu'!$A:$L,12,0),"")</f>
        <v/>
      </c>
      <c r="N10" s="48"/>
      <c r="O10" s="48"/>
      <c r="P10" s="48"/>
      <c r="Q10" s="10"/>
      <c r="R10" s="18"/>
    </row>
    <row r="11" spans="1:18" ht="18" customHeight="1" x14ac:dyDescent="0.3">
      <c r="A11" s="47"/>
      <c r="B11" s="5"/>
      <c r="C11" s="47"/>
      <c r="D11" s="11" t="str">
        <f ca="1">IFERROR(VLOOKUP(C11,'🚜 Araç Havuzu'!$A:$B,2,0),"")</f>
        <v/>
      </c>
      <c r="E11" s="6"/>
      <c r="F11" s="6"/>
      <c r="G11" s="6"/>
      <c r="H11" s="5"/>
      <c r="I11" s="47"/>
      <c r="J11" s="5"/>
      <c r="K11" s="47"/>
      <c r="L11" s="12"/>
      <c r="M11" s="13" t="str">
        <f ca="1">IFERROR(VLOOKUP(C11,'🚜 Araç Havuzu'!$A:$L,12,0),"")</f>
        <v/>
      </c>
      <c r="N11" s="47"/>
      <c r="O11" s="47"/>
      <c r="P11" s="47"/>
      <c r="Q11" s="6"/>
      <c r="R11" s="14"/>
    </row>
    <row r="12" spans="1:18" ht="18" customHeight="1" x14ac:dyDescent="0.3">
      <c r="A12" s="48"/>
      <c r="B12" s="9"/>
      <c r="C12" s="48"/>
      <c r="D12" s="15" t="str">
        <f ca="1">IFERROR(VLOOKUP(C12,'🚜 Araç Havuzu'!$A:$B,2,0),"")</f>
        <v/>
      </c>
      <c r="E12" s="10"/>
      <c r="F12" s="10"/>
      <c r="G12" s="10"/>
      <c r="H12" s="9"/>
      <c r="I12" s="48"/>
      <c r="J12" s="9"/>
      <c r="K12" s="48"/>
      <c r="L12" s="16"/>
      <c r="M12" s="17" t="str">
        <f ca="1">IFERROR(VLOOKUP(C12,'🚜 Araç Havuzu'!$A:$L,12,0),"")</f>
        <v/>
      </c>
      <c r="N12" s="48"/>
      <c r="O12" s="48"/>
      <c r="P12" s="48"/>
      <c r="Q12" s="10"/>
      <c r="R12" s="18"/>
    </row>
    <row r="13" spans="1:18" ht="18" customHeight="1" x14ac:dyDescent="0.3">
      <c r="A13" s="47"/>
      <c r="B13" s="5"/>
      <c r="C13" s="47"/>
      <c r="D13" s="11" t="str">
        <f ca="1">IFERROR(VLOOKUP(C13,'🚜 Araç Havuzu'!$A:$B,2,0),"")</f>
        <v/>
      </c>
      <c r="E13" s="6"/>
      <c r="F13" s="6"/>
      <c r="G13" s="6"/>
      <c r="H13" s="5"/>
      <c r="I13" s="47"/>
      <c r="J13" s="5"/>
      <c r="K13" s="47"/>
      <c r="L13" s="12"/>
      <c r="M13" s="13" t="str">
        <f ca="1">IFERROR(VLOOKUP(C13,'🚜 Araç Havuzu'!$A:$L,12,0),"")</f>
        <v/>
      </c>
      <c r="N13" s="47"/>
      <c r="O13" s="47"/>
      <c r="P13" s="47"/>
      <c r="Q13" s="6"/>
      <c r="R13" s="14"/>
    </row>
    <row r="14" spans="1:18" ht="18" customHeight="1" x14ac:dyDescent="0.3">
      <c r="A14" s="48"/>
      <c r="B14" s="9"/>
      <c r="C14" s="48"/>
      <c r="D14" s="15" t="str">
        <f ca="1">IFERROR(VLOOKUP(C14,'🚜 Araç Havuzu'!$A:$B,2,0),"")</f>
        <v/>
      </c>
      <c r="E14" s="10"/>
      <c r="F14" s="10"/>
      <c r="G14" s="10"/>
      <c r="H14" s="9"/>
      <c r="I14" s="48"/>
      <c r="J14" s="9"/>
      <c r="K14" s="48"/>
      <c r="L14" s="16"/>
      <c r="M14" s="17" t="str">
        <f ca="1">IFERROR(VLOOKUP(C14,'🚜 Araç Havuzu'!$A:$L,12,0),"")</f>
        <v/>
      </c>
      <c r="N14" s="48"/>
      <c r="O14" s="48"/>
      <c r="P14" s="48"/>
      <c r="Q14" s="10"/>
      <c r="R14" s="18"/>
    </row>
    <row r="15" spans="1:18" ht="18" customHeight="1" x14ac:dyDescent="0.3">
      <c r="A15" s="47"/>
      <c r="B15" s="5"/>
      <c r="C15" s="47"/>
      <c r="D15" s="11" t="str">
        <f ca="1">IFERROR(VLOOKUP(C15,'🚜 Araç Havuzu'!$A:$B,2,0),"")</f>
        <v/>
      </c>
      <c r="E15" s="6"/>
      <c r="F15" s="6"/>
      <c r="G15" s="6"/>
      <c r="H15" s="5"/>
      <c r="I15" s="47"/>
      <c r="J15" s="5"/>
      <c r="K15" s="47"/>
      <c r="L15" s="12"/>
      <c r="M15" s="13" t="str">
        <f ca="1">IFERROR(VLOOKUP(C15,'🚜 Araç Havuzu'!$A:$L,12,0),"")</f>
        <v/>
      </c>
      <c r="N15" s="47"/>
      <c r="O15" s="47"/>
      <c r="P15" s="47"/>
      <c r="Q15" s="6"/>
      <c r="R15" s="14"/>
    </row>
    <row r="16" spans="1:18" ht="18" customHeight="1" x14ac:dyDescent="0.3">
      <c r="A16" s="48"/>
      <c r="B16" s="9"/>
      <c r="C16" s="48"/>
      <c r="D16" s="15" t="str">
        <f ca="1">IFERROR(VLOOKUP(C16,'🚜 Araç Havuzu'!$A:$B,2,0),"")</f>
        <v/>
      </c>
      <c r="E16" s="10"/>
      <c r="F16" s="10"/>
      <c r="G16" s="10"/>
      <c r="H16" s="9"/>
      <c r="I16" s="48"/>
      <c r="J16" s="9"/>
      <c r="K16" s="48"/>
      <c r="L16" s="16"/>
      <c r="M16" s="17" t="str">
        <f ca="1">IFERROR(VLOOKUP(C16,'🚜 Araç Havuzu'!$A:$L,12,0),"")</f>
        <v/>
      </c>
      <c r="N16" s="48"/>
      <c r="O16" s="48"/>
      <c r="P16" s="48"/>
      <c r="Q16" s="10"/>
      <c r="R16" s="18"/>
    </row>
    <row r="17" spans="1:18" ht="18" customHeight="1" x14ac:dyDescent="0.3">
      <c r="A17" s="47"/>
      <c r="B17" s="5"/>
      <c r="C17" s="47"/>
      <c r="D17" s="11" t="str">
        <f ca="1">IFERROR(VLOOKUP(C17,'🚜 Araç Havuzu'!$A:$B,2,0),"")</f>
        <v/>
      </c>
      <c r="E17" s="6"/>
      <c r="F17" s="6"/>
      <c r="G17" s="6"/>
      <c r="H17" s="5"/>
      <c r="I17" s="47"/>
      <c r="J17" s="5"/>
      <c r="K17" s="47"/>
      <c r="L17" s="12"/>
      <c r="M17" s="13" t="str">
        <f ca="1">IFERROR(VLOOKUP(C17,'🚜 Araç Havuzu'!$A:$L,12,0),"")</f>
        <v/>
      </c>
      <c r="N17" s="47"/>
      <c r="O17" s="47"/>
      <c r="P17" s="47"/>
      <c r="Q17" s="6"/>
      <c r="R17" s="14"/>
    </row>
    <row r="18" spans="1:18" ht="18" customHeight="1" x14ac:dyDescent="0.3">
      <c r="A18" s="48"/>
      <c r="B18" s="9"/>
      <c r="C18" s="48"/>
      <c r="D18" s="15" t="str">
        <f ca="1">IFERROR(VLOOKUP(C18,'🚜 Araç Havuzu'!$A:$B,2,0),"")</f>
        <v/>
      </c>
      <c r="E18" s="10"/>
      <c r="F18" s="10"/>
      <c r="G18" s="10"/>
      <c r="H18" s="9"/>
      <c r="I18" s="48"/>
      <c r="J18" s="9"/>
      <c r="K18" s="48"/>
      <c r="L18" s="16"/>
      <c r="M18" s="17" t="str">
        <f ca="1">IFERROR(VLOOKUP(C18,'🚜 Araç Havuzu'!$A:$L,12,0),"")</f>
        <v/>
      </c>
      <c r="N18" s="48"/>
      <c r="O18" s="48"/>
      <c r="P18" s="48"/>
      <c r="Q18" s="10"/>
      <c r="R18" s="18"/>
    </row>
    <row r="19" spans="1:18" ht="18" customHeight="1" x14ac:dyDescent="0.3">
      <c r="A19" s="47"/>
      <c r="B19" s="5"/>
      <c r="C19" s="47"/>
      <c r="D19" s="11" t="str">
        <f ca="1">IFERROR(VLOOKUP(C19,'🚜 Araç Havuzu'!$A:$B,2,0),"")</f>
        <v/>
      </c>
      <c r="E19" s="6"/>
      <c r="F19" s="6"/>
      <c r="G19" s="6"/>
      <c r="H19" s="5"/>
      <c r="I19" s="47"/>
      <c r="J19" s="5"/>
      <c r="K19" s="47"/>
      <c r="L19" s="12"/>
      <c r="M19" s="13" t="str">
        <f ca="1">IFERROR(VLOOKUP(C19,'🚜 Araç Havuzu'!$A:$L,12,0),"")</f>
        <v/>
      </c>
      <c r="N19" s="47"/>
      <c r="O19" s="47"/>
      <c r="P19" s="47"/>
      <c r="Q19" s="6"/>
      <c r="R19" s="14"/>
    </row>
    <row r="20" spans="1:18" ht="18" customHeight="1" x14ac:dyDescent="0.3">
      <c r="A20" s="48"/>
      <c r="B20" s="9"/>
      <c r="C20" s="48"/>
      <c r="D20" s="15" t="str">
        <f ca="1">IFERROR(VLOOKUP(C20,'🚜 Araç Havuzu'!$A:$B,2,0),"")</f>
        <v/>
      </c>
      <c r="E20" s="10"/>
      <c r="F20" s="10"/>
      <c r="G20" s="10"/>
      <c r="H20" s="9"/>
      <c r="I20" s="48"/>
      <c r="J20" s="9"/>
      <c r="K20" s="48"/>
      <c r="L20" s="16"/>
      <c r="M20" s="17" t="str">
        <f ca="1">IFERROR(VLOOKUP(C20,'🚜 Araç Havuzu'!$A:$L,12,0),"")</f>
        <v/>
      </c>
      <c r="N20" s="48"/>
      <c r="O20" s="48"/>
      <c r="P20" s="48"/>
      <c r="Q20" s="10"/>
      <c r="R20" s="18"/>
    </row>
    <row r="21" spans="1:18" ht="18" customHeight="1" x14ac:dyDescent="0.3">
      <c r="A21" s="47"/>
      <c r="B21" s="5"/>
      <c r="C21" s="47"/>
      <c r="D21" s="11" t="str">
        <f ca="1">IFERROR(VLOOKUP(C21,'🚜 Araç Havuzu'!$A:$B,2,0),"")</f>
        <v/>
      </c>
      <c r="E21" s="6"/>
      <c r="F21" s="6"/>
      <c r="G21" s="6"/>
      <c r="H21" s="5"/>
      <c r="I21" s="47"/>
      <c r="J21" s="5"/>
      <c r="K21" s="47"/>
      <c r="L21" s="12"/>
      <c r="M21" s="13" t="str">
        <f ca="1">IFERROR(VLOOKUP(C21,'🚜 Araç Havuzu'!$A:$L,12,0),"")</f>
        <v/>
      </c>
      <c r="N21" s="47"/>
      <c r="O21" s="47"/>
      <c r="P21" s="47"/>
      <c r="Q21" s="6"/>
      <c r="R21" s="14"/>
    </row>
    <row r="22" spans="1:18" ht="18" customHeight="1" x14ac:dyDescent="0.3">
      <c r="A22" s="48"/>
      <c r="B22" s="9"/>
      <c r="C22" s="48"/>
      <c r="D22" s="15" t="str">
        <f ca="1">IFERROR(VLOOKUP(C22,'🚜 Araç Havuzu'!$A:$B,2,0),"")</f>
        <v/>
      </c>
      <c r="E22" s="10"/>
      <c r="F22" s="10"/>
      <c r="G22" s="10"/>
      <c r="H22" s="9"/>
      <c r="I22" s="48"/>
      <c r="J22" s="9"/>
      <c r="K22" s="48"/>
      <c r="L22" s="16"/>
      <c r="M22" s="17" t="str">
        <f ca="1">IFERROR(VLOOKUP(C22,'🚜 Araç Havuzu'!$A:$L,12,0),"")</f>
        <v/>
      </c>
      <c r="N22" s="48"/>
      <c r="O22" s="48"/>
      <c r="P22" s="48"/>
      <c r="Q22" s="10"/>
      <c r="R22" s="18"/>
    </row>
    <row r="23" spans="1:18" ht="18" customHeight="1" x14ac:dyDescent="0.3">
      <c r="A23" s="47"/>
      <c r="B23" s="5"/>
      <c r="C23" s="47"/>
      <c r="D23" s="11" t="str">
        <f ca="1">IFERROR(VLOOKUP(C23,'🚜 Araç Havuzu'!$A:$B,2,0),"")</f>
        <v/>
      </c>
      <c r="E23" s="6"/>
      <c r="F23" s="6"/>
      <c r="G23" s="6"/>
      <c r="H23" s="5"/>
      <c r="I23" s="47"/>
      <c r="J23" s="5"/>
      <c r="K23" s="47"/>
      <c r="L23" s="12"/>
      <c r="M23" s="13" t="str">
        <f ca="1">IFERROR(VLOOKUP(C23,'🚜 Araç Havuzu'!$A:$L,12,0),"")</f>
        <v/>
      </c>
      <c r="N23" s="47"/>
      <c r="O23" s="47"/>
      <c r="P23" s="47"/>
      <c r="Q23" s="6"/>
      <c r="R23" s="14"/>
    </row>
    <row r="24" spans="1:18" ht="18" customHeight="1" x14ac:dyDescent="0.3">
      <c r="A24" s="48"/>
      <c r="B24" s="9"/>
      <c r="C24" s="48"/>
      <c r="D24" s="15" t="str">
        <f ca="1">IFERROR(VLOOKUP(C24,'🚜 Araç Havuzu'!$A:$B,2,0),"")</f>
        <v/>
      </c>
      <c r="E24" s="10"/>
      <c r="F24" s="10"/>
      <c r="G24" s="10"/>
      <c r="H24" s="9"/>
      <c r="I24" s="48"/>
      <c r="J24" s="9"/>
      <c r="K24" s="48"/>
      <c r="L24" s="16"/>
      <c r="M24" s="17" t="str">
        <f ca="1">IFERROR(VLOOKUP(C24,'🚜 Araç Havuzu'!$A:$L,12,0),"")</f>
        <v/>
      </c>
      <c r="N24" s="48"/>
      <c r="O24" s="48"/>
      <c r="P24" s="48"/>
      <c r="Q24" s="10"/>
      <c r="R24" s="18"/>
    </row>
    <row r="25" spans="1:18" ht="18" customHeight="1" x14ac:dyDescent="0.3">
      <c r="A25" s="47"/>
      <c r="B25" s="5"/>
      <c r="C25" s="47"/>
      <c r="D25" s="11" t="str">
        <f ca="1">IFERROR(VLOOKUP(C25,'🚜 Araç Havuzu'!$A:$B,2,0),"")</f>
        <v/>
      </c>
      <c r="E25" s="6"/>
      <c r="F25" s="6"/>
      <c r="G25" s="6"/>
      <c r="H25" s="5"/>
      <c r="I25" s="47"/>
      <c r="J25" s="5"/>
      <c r="K25" s="47"/>
      <c r="L25" s="12"/>
      <c r="M25" s="13" t="str">
        <f ca="1">IFERROR(VLOOKUP(C25,'🚜 Araç Havuzu'!$A:$L,12,0),"")</f>
        <v/>
      </c>
      <c r="N25" s="47"/>
      <c r="O25" s="47"/>
      <c r="P25" s="47"/>
      <c r="Q25" s="6"/>
      <c r="R25" s="14"/>
    </row>
    <row r="26" spans="1:18" ht="18" customHeight="1" x14ac:dyDescent="0.3">
      <c r="A26" s="48"/>
      <c r="B26" s="9"/>
      <c r="C26" s="48"/>
      <c r="D26" s="15" t="str">
        <f ca="1">IFERROR(VLOOKUP(C26,'🚜 Araç Havuzu'!$A:$B,2,0),"")</f>
        <v/>
      </c>
      <c r="E26" s="10"/>
      <c r="F26" s="10"/>
      <c r="G26" s="10"/>
      <c r="H26" s="9"/>
      <c r="I26" s="48"/>
      <c r="J26" s="9"/>
      <c r="K26" s="48"/>
      <c r="L26" s="16"/>
      <c r="M26" s="17" t="str">
        <f ca="1">IFERROR(VLOOKUP(C26,'🚜 Araç Havuzu'!$A:$L,12,0),"")</f>
        <v/>
      </c>
      <c r="N26" s="48"/>
      <c r="O26" s="48"/>
      <c r="P26" s="48"/>
      <c r="Q26" s="10"/>
      <c r="R26" s="18"/>
    </row>
    <row r="27" spans="1:18" ht="18" customHeight="1" x14ac:dyDescent="0.3">
      <c r="A27" s="47"/>
      <c r="B27" s="5"/>
      <c r="C27" s="47"/>
      <c r="D27" s="11" t="str">
        <f ca="1">IFERROR(VLOOKUP(C27,'🚜 Araç Havuzu'!$A:$B,2,0),"")</f>
        <v/>
      </c>
      <c r="E27" s="6"/>
      <c r="F27" s="6"/>
      <c r="G27" s="6"/>
      <c r="H27" s="5"/>
      <c r="I27" s="47"/>
      <c r="J27" s="5"/>
      <c r="K27" s="47"/>
      <c r="L27" s="12"/>
      <c r="M27" s="13" t="str">
        <f ca="1">IFERROR(VLOOKUP(C27,'🚜 Araç Havuzu'!$A:$L,12,0),"")</f>
        <v/>
      </c>
      <c r="N27" s="47"/>
      <c r="O27" s="47"/>
      <c r="P27" s="47"/>
      <c r="Q27" s="6"/>
      <c r="R27" s="14"/>
    </row>
    <row r="28" spans="1:18" ht="18" customHeight="1" x14ac:dyDescent="0.3">
      <c r="A28" s="48"/>
      <c r="B28" s="9"/>
      <c r="C28" s="48"/>
      <c r="D28" s="15" t="str">
        <f ca="1">IFERROR(VLOOKUP(C28,'🚜 Araç Havuzu'!$A:$B,2,0),"")</f>
        <v/>
      </c>
      <c r="E28" s="10"/>
      <c r="F28" s="10"/>
      <c r="G28" s="10"/>
      <c r="H28" s="9"/>
      <c r="I28" s="48"/>
      <c r="J28" s="9"/>
      <c r="K28" s="48"/>
      <c r="L28" s="16"/>
      <c r="M28" s="17" t="str">
        <f ca="1">IFERROR(VLOOKUP(C28,'🚜 Araç Havuzu'!$A:$L,12,0),"")</f>
        <v/>
      </c>
      <c r="N28" s="48"/>
      <c r="O28" s="48"/>
      <c r="P28" s="48"/>
      <c r="Q28" s="10"/>
      <c r="R28" s="18"/>
    </row>
    <row r="29" spans="1:18" ht="18" customHeight="1" x14ac:dyDescent="0.3">
      <c r="A29" s="47"/>
      <c r="B29" s="5"/>
      <c r="C29" s="47"/>
      <c r="D29" s="11" t="str">
        <f ca="1">IFERROR(VLOOKUP(C29,'🚜 Araç Havuzu'!$A:$B,2,0),"")</f>
        <v/>
      </c>
      <c r="E29" s="6"/>
      <c r="F29" s="6"/>
      <c r="G29" s="6"/>
      <c r="H29" s="5"/>
      <c r="I29" s="47"/>
      <c r="J29" s="5"/>
      <c r="K29" s="47"/>
      <c r="L29" s="12"/>
      <c r="M29" s="13" t="str">
        <f ca="1">IFERROR(VLOOKUP(C29,'🚜 Araç Havuzu'!$A:$L,12,0),"")</f>
        <v/>
      </c>
      <c r="N29" s="47"/>
      <c r="O29" s="47"/>
      <c r="P29" s="47"/>
      <c r="Q29" s="6"/>
      <c r="R29" s="14"/>
    </row>
    <row r="30" spans="1:18" ht="18" customHeight="1" x14ac:dyDescent="0.3">
      <c r="A30" s="48"/>
      <c r="B30" s="9"/>
      <c r="C30" s="48"/>
      <c r="D30" s="15" t="str">
        <f ca="1">IFERROR(VLOOKUP(C30,'🚜 Araç Havuzu'!$A:$B,2,0),"")</f>
        <v/>
      </c>
      <c r="E30" s="10"/>
      <c r="F30" s="10"/>
      <c r="G30" s="10"/>
      <c r="H30" s="9"/>
      <c r="I30" s="48"/>
      <c r="J30" s="9"/>
      <c r="K30" s="48"/>
      <c r="L30" s="16"/>
      <c r="M30" s="17" t="str">
        <f ca="1">IFERROR(VLOOKUP(C30,'🚜 Araç Havuzu'!$A:$L,12,0),"")</f>
        <v/>
      </c>
      <c r="N30" s="48"/>
      <c r="O30" s="48"/>
      <c r="P30" s="48"/>
      <c r="Q30" s="10"/>
      <c r="R30" s="18"/>
    </row>
    <row r="31" spans="1:18" ht="18" customHeight="1" x14ac:dyDescent="0.3">
      <c r="A31" s="47"/>
      <c r="B31" s="5"/>
      <c r="C31" s="47"/>
      <c r="D31" s="11" t="str">
        <f ca="1">IFERROR(VLOOKUP(C31,'🚜 Araç Havuzu'!$A:$B,2,0),"")</f>
        <v/>
      </c>
      <c r="E31" s="6"/>
      <c r="F31" s="6"/>
      <c r="G31" s="6"/>
      <c r="H31" s="5"/>
      <c r="I31" s="47"/>
      <c r="J31" s="5"/>
      <c r="K31" s="47"/>
      <c r="L31" s="12"/>
      <c r="M31" s="13" t="str">
        <f ca="1">IFERROR(VLOOKUP(C31,'🚜 Araç Havuzu'!$A:$L,12,0),"")</f>
        <v/>
      </c>
      <c r="N31" s="47"/>
      <c r="O31" s="47"/>
      <c r="P31" s="47"/>
      <c r="Q31" s="6"/>
      <c r="R31" s="14"/>
    </row>
    <row r="32" spans="1:18" ht="18" customHeight="1" x14ac:dyDescent="0.3">
      <c r="A32" s="48"/>
      <c r="B32" s="9"/>
      <c r="C32" s="48"/>
      <c r="D32" s="15" t="str">
        <f ca="1">IFERROR(VLOOKUP(C32,'🚜 Araç Havuzu'!$A:$B,2,0),"")</f>
        <v/>
      </c>
      <c r="E32" s="10"/>
      <c r="F32" s="10"/>
      <c r="G32" s="10"/>
      <c r="H32" s="9"/>
      <c r="I32" s="48"/>
      <c r="J32" s="9"/>
      <c r="K32" s="48"/>
      <c r="L32" s="16"/>
      <c r="M32" s="17" t="str">
        <f ca="1">IFERROR(VLOOKUP(C32,'🚜 Araç Havuzu'!$A:$L,12,0),"")</f>
        <v/>
      </c>
      <c r="N32" s="48"/>
      <c r="O32" s="48"/>
      <c r="P32" s="48"/>
      <c r="Q32" s="10"/>
      <c r="R32" s="18"/>
    </row>
    <row r="33" spans="1:18" ht="18" customHeight="1" x14ac:dyDescent="0.3">
      <c r="A33" s="47"/>
      <c r="B33" s="5"/>
      <c r="C33" s="47"/>
      <c r="D33" s="11" t="str">
        <f ca="1">IFERROR(VLOOKUP(C33,'🚜 Araç Havuzu'!$A:$B,2,0),"")</f>
        <v/>
      </c>
      <c r="E33" s="6"/>
      <c r="F33" s="6"/>
      <c r="G33" s="6"/>
      <c r="H33" s="5"/>
      <c r="I33" s="47"/>
      <c r="J33" s="5"/>
      <c r="K33" s="47"/>
      <c r="L33" s="12"/>
      <c r="M33" s="13" t="str">
        <f ca="1">IFERROR(VLOOKUP(C33,'🚜 Araç Havuzu'!$A:$L,12,0),"")</f>
        <v/>
      </c>
      <c r="N33" s="47"/>
      <c r="O33" s="47"/>
      <c r="P33" s="47"/>
      <c r="Q33" s="6"/>
      <c r="R33" s="14"/>
    </row>
    <row r="34" spans="1:18" ht="18" customHeight="1" x14ac:dyDescent="0.3">
      <c r="A34" s="48"/>
      <c r="B34" s="9"/>
      <c r="C34" s="48"/>
      <c r="D34" s="15" t="str">
        <f ca="1">IFERROR(VLOOKUP(C34,'🚜 Araç Havuzu'!$A:$B,2,0),"")</f>
        <v/>
      </c>
      <c r="E34" s="10"/>
      <c r="F34" s="10"/>
      <c r="G34" s="10"/>
      <c r="H34" s="9"/>
      <c r="I34" s="48"/>
      <c r="J34" s="9"/>
      <c r="K34" s="48"/>
      <c r="L34" s="16"/>
      <c r="M34" s="17" t="str">
        <f ca="1">IFERROR(VLOOKUP(C34,'🚜 Araç Havuzu'!$A:$L,12,0),"")</f>
        <v/>
      </c>
      <c r="N34" s="48"/>
      <c r="O34" s="48"/>
      <c r="P34" s="48"/>
      <c r="Q34" s="10"/>
      <c r="R34" s="18"/>
    </row>
    <row r="35" spans="1:18" ht="18" customHeight="1" x14ac:dyDescent="0.3">
      <c r="A35" s="47"/>
      <c r="B35" s="5"/>
      <c r="C35" s="47"/>
      <c r="D35" s="11" t="str">
        <f ca="1">IFERROR(VLOOKUP(C35,'🚜 Araç Havuzu'!$A:$B,2,0),"")</f>
        <v/>
      </c>
      <c r="E35" s="6"/>
      <c r="F35" s="6"/>
      <c r="G35" s="6"/>
      <c r="H35" s="5"/>
      <c r="I35" s="47"/>
      <c r="J35" s="5"/>
      <c r="K35" s="47"/>
      <c r="L35" s="12"/>
      <c r="M35" s="13" t="str">
        <f ca="1">IFERROR(VLOOKUP(C35,'🚜 Araç Havuzu'!$A:$L,12,0),"")</f>
        <v/>
      </c>
      <c r="N35" s="47"/>
      <c r="O35" s="47"/>
      <c r="P35" s="47"/>
      <c r="Q35" s="6"/>
      <c r="R35" s="14"/>
    </row>
    <row r="36" spans="1:18" ht="18" customHeight="1" x14ac:dyDescent="0.3">
      <c r="A36" s="48"/>
      <c r="B36" s="9"/>
      <c r="C36" s="48"/>
      <c r="D36" s="15" t="str">
        <f ca="1">IFERROR(VLOOKUP(C36,'🚜 Araç Havuzu'!$A:$B,2,0),"")</f>
        <v/>
      </c>
      <c r="E36" s="10"/>
      <c r="F36" s="10"/>
      <c r="G36" s="10"/>
      <c r="H36" s="9"/>
      <c r="I36" s="48"/>
      <c r="J36" s="9"/>
      <c r="K36" s="48"/>
      <c r="L36" s="16"/>
      <c r="M36" s="17" t="str">
        <f ca="1">IFERROR(VLOOKUP(C36,'🚜 Araç Havuzu'!$A:$L,12,0),"")</f>
        <v/>
      </c>
      <c r="N36" s="48"/>
      <c r="O36" s="48"/>
      <c r="P36" s="48"/>
      <c r="Q36" s="10"/>
      <c r="R36" s="18"/>
    </row>
    <row r="37" spans="1:18" ht="18" customHeight="1" x14ac:dyDescent="0.3">
      <c r="A37" s="47"/>
      <c r="B37" s="5"/>
      <c r="C37" s="47"/>
      <c r="D37" s="11" t="str">
        <f ca="1">IFERROR(VLOOKUP(C37,'🚜 Araç Havuzu'!$A:$B,2,0),"")</f>
        <v/>
      </c>
      <c r="E37" s="6"/>
      <c r="F37" s="6"/>
      <c r="G37" s="6"/>
      <c r="H37" s="5"/>
      <c r="I37" s="47"/>
      <c r="J37" s="5"/>
      <c r="K37" s="47"/>
      <c r="L37" s="12"/>
      <c r="M37" s="13" t="str">
        <f ca="1">IFERROR(VLOOKUP(C37,'🚜 Araç Havuzu'!$A:$L,12,0),"")</f>
        <v/>
      </c>
      <c r="N37" s="47"/>
      <c r="O37" s="47"/>
      <c r="P37" s="47"/>
      <c r="Q37" s="6"/>
      <c r="R37" s="14"/>
    </row>
    <row r="38" spans="1:18" ht="18" customHeight="1" x14ac:dyDescent="0.3">
      <c r="A38" s="48"/>
      <c r="B38" s="9"/>
      <c r="C38" s="48"/>
      <c r="D38" s="15" t="str">
        <f ca="1">IFERROR(VLOOKUP(C38,'🚜 Araç Havuzu'!$A:$B,2,0),"")</f>
        <v/>
      </c>
      <c r="E38" s="10"/>
      <c r="F38" s="10"/>
      <c r="G38" s="10"/>
      <c r="H38" s="9"/>
      <c r="I38" s="48"/>
      <c r="J38" s="9"/>
      <c r="K38" s="48"/>
      <c r="L38" s="16"/>
      <c r="M38" s="17" t="str">
        <f ca="1">IFERROR(VLOOKUP(C38,'🚜 Araç Havuzu'!$A:$L,12,0),"")</f>
        <v/>
      </c>
      <c r="N38" s="48"/>
      <c r="O38" s="48"/>
      <c r="P38" s="48"/>
      <c r="Q38" s="10"/>
      <c r="R38" s="18"/>
    </row>
    <row r="39" spans="1:18" ht="18" customHeight="1" x14ac:dyDescent="0.3">
      <c r="A39" s="47"/>
      <c r="B39" s="5"/>
      <c r="C39" s="47"/>
      <c r="D39" s="11" t="str">
        <f ca="1">IFERROR(VLOOKUP(C39,'🚜 Araç Havuzu'!$A:$B,2,0),"")</f>
        <v/>
      </c>
      <c r="E39" s="6"/>
      <c r="F39" s="6"/>
      <c r="G39" s="6"/>
      <c r="H39" s="5"/>
      <c r="I39" s="47"/>
      <c r="J39" s="5"/>
      <c r="K39" s="47"/>
      <c r="L39" s="12"/>
      <c r="M39" s="13" t="str">
        <f ca="1">IFERROR(VLOOKUP(C39,'🚜 Araç Havuzu'!$A:$L,12,0),"")</f>
        <v/>
      </c>
      <c r="N39" s="47"/>
      <c r="O39" s="47"/>
      <c r="P39" s="47"/>
      <c r="Q39" s="6"/>
      <c r="R39" s="14"/>
    </row>
    <row r="40" spans="1:18" ht="18" customHeight="1" x14ac:dyDescent="0.3">
      <c r="A40" s="48"/>
      <c r="B40" s="9"/>
      <c r="C40" s="48"/>
      <c r="D40" s="15" t="str">
        <f ca="1">IFERROR(VLOOKUP(C40,'🚜 Araç Havuzu'!$A:$B,2,0),"")</f>
        <v/>
      </c>
      <c r="E40" s="10"/>
      <c r="F40" s="10"/>
      <c r="G40" s="10"/>
      <c r="H40" s="9"/>
      <c r="I40" s="48"/>
      <c r="J40" s="9"/>
      <c r="K40" s="48"/>
      <c r="L40" s="16"/>
      <c r="M40" s="17" t="str">
        <f ca="1">IFERROR(VLOOKUP(C40,'🚜 Araç Havuzu'!$A:$L,12,0),"")</f>
        <v/>
      </c>
      <c r="N40" s="48"/>
      <c r="O40" s="48"/>
      <c r="P40" s="48"/>
      <c r="Q40" s="10"/>
      <c r="R40" s="18"/>
    </row>
    <row r="41" spans="1:18" ht="18" customHeight="1" x14ac:dyDescent="0.3">
      <c r="A41" s="47"/>
      <c r="B41" s="5"/>
      <c r="C41" s="47"/>
      <c r="D41" s="11" t="str">
        <f ca="1">IFERROR(VLOOKUP(C41,'🚜 Araç Havuzu'!$A:$B,2,0),"")</f>
        <v/>
      </c>
      <c r="E41" s="6"/>
      <c r="F41" s="6"/>
      <c r="G41" s="6"/>
      <c r="H41" s="5"/>
      <c r="I41" s="47"/>
      <c r="J41" s="5"/>
      <c r="K41" s="47"/>
      <c r="L41" s="12"/>
      <c r="M41" s="13" t="str">
        <f ca="1">IFERROR(VLOOKUP(C41,'🚜 Araç Havuzu'!$A:$L,12,0),"")</f>
        <v/>
      </c>
      <c r="N41" s="47"/>
      <c r="O41" s="47"/>
      <c r="P41" s="47"/>
      <c r="Q41" s="6"/>
      <c r="R41" s="14"/>
    </row>
    <row r="42" spans="1:18" ht="18" customHeight="1" x14ac:dyDescent="0.3">
      <c r="A42" s="48"/>
      <c r="B42" s="9"/>
      <c r="C42" s="48"/>
      <c r="D42" s="15" t="str">
        <f ca="1">IFERROR(VLOOKUP(C42,'🚜 Araç Havuzu'!$A:$B,2,0),"")</f>
        <v/>
      </c>
      <c r="E42" s="10"/>
      <c r="F42" s="10"/>
      <c r="G42" s="10"/>
      <c r="H42" s="9"/>
      <c r="I42" s="48"/>
      <c r="J42" s="9"/>
      <c r="K42" s="48"/>
      <c r="L42" s="16"/>
      <c r="M42" s="17" t="str">
        <f ca="1">IFERROR(VLOOKUP(C42,'🚜 Araç Havuzu'!$A:$L,12,0),"")</f>
        <v/>
      </c>
      <c r="N42" s="48"/>
      <c r="O42" s="48"/>
      <c r="P42" s="48"/>
      <c r="Q42" s="10"/>
      <c r="R42" s="18"/>
    </row>
    <row r="43" spans="1:18" ht="18" customHeight="1" x14ac:dyDescent="0.3">
      <c r="A43" s="47"/>
      <c r="B43" s="5"/>
      <c r="C43" s="47"/>
      <c r="D43" s="11" t="str">
        <f ca="1">IFERROR(VLOOKUP(C43,'🚜 Araç Havuzu'!$A:$B,2,0),"")</f>
        <v/>
      </c>
      <c r="E43" s="6"/>
      <c r="F43" s="6"/>
      <c r="G43" s="6"/>
      <c r="H43" s="5"/>
      <c r="I43" s="47"/>
      <c r="J43" s="5"/>
      <c r="K43" s="47"/>
      <c r="L43" s="12"/>
      <c r="M43" s="13" t="str">
        <f ca="1">IFERROR(VLOOKUP(C43,'🚜 Araç Havuzu'!$A:$L,12,0),"")</f>
        <v/>
      </c>
      <c r="N43" s="47"/>
      <c r="O43" s="47"/>
      <c r="P43" s="47"/>
      <c r="Q43" s="6"/>
      <c r="R43" s="14"/>
    </row>
    <row r="44" spans="1:18" ht="18" customHeight="1" x14ac:dyDescent="0.3">
      <c r="A44" s="48"/>
      <c r="B44" s="9"/>
      <c r="C44" s="48"/>
      <c r="D44" s="15" t="str">
        <f ca="1">IFERROR(VLOOKUP(C44,'🚜 Araç Havuzu'!$A:$B,2,0),"")</f>
        <v/>
      </c>
      <c r="E44" s="10"/>
      <c r="F44" s="10"/>
      <c r="G44" s="10"/>
      <c r="H44" s="9"/>
      <c r="I44" s="48"/>
      <c r="J44" s="9"/>
      <c r="K44" s="48"/>
      <c r="L44" s="16"/>
      <c r="M44" s="17" t="str">
        <f ca="1">IFERROR(VLOOKUP(C44,'🚜 Araç Havuzu'!$A:$L,12,0),"")</f>
        <v/>
      </c>
      <c r="N44" s="48"/>
      <c r="O44" s="48"/>
      <c r="P44" s="48"/>
      <c r="Q44" s="10"/>
      <c r="R44" s="18"/>
    </row>
    <row r="45" spans="1:18" ht="18" customHeight="1" x14ac:dyDescent="0.3">
      <c r="A45" s="47"/>
      <c r="B45" s="5"/>
      <c r="C45" s="47"/>
      <c r="D45" s="11" t="str">
        <f ca="1">IFERROR(VLOOKUP(C45,'🚜 Araç Havuzu'!$A:$B,2,0),"")</f>
        <v/>
      </c>
      <c r="E45" s="6"/>
      <c r="F45" s="6"/>
      <c r="G45" s="6"/>
      <c r="H45" s="5"/>
      <c r="I45" s="47"/>
      <c r="J45" s="5"/>
      <c r="K45" s="47"/>
      <c r="L45" s="12"/>
      <c r="M45" s="13" t="str">
        <f ca="1">IFERROR(VLOOKUP(C45,'🚜 Araç Havuzu'!$A:$L,12,0),"")</f>
        <v/>
      </c>
      <c r="N45" s="47"/>
      <c r="O45" s="47"/>
      <c r="P45" s="47"/>
      <c r="Q45" s="6"/>
      <c r="R45" s="14"/>
    </row>
    <row r="46" spans="1:18" ht="18" customHeight="1" x14ac:dyDescent="0.3">
      <c r="A46" s="48"/>
      <c r="B46" s="9"/>
      <c r="C46" s="48"/>
      <c r="D46" s="15" t="str">
        <f ca="1">IFERROR(VLOOKUP(C46,'🚜 Araç Havuzu'!$A:$B,2,0),"")</f>
        <v/>
      </c>
      <c r="E46" s="10"/>
      <c r="F46" s="10"/>
      <c r="G46" s="10"/>
      <c r="H46" s="9"/>
      <c r="I46" s="48"/>
      <c r="J46" s="9"/>
      <c r="K46" s="48"/>
      <c r="L46" s="16"/>
      <c r="M46" s="17" t="str">
        <f ca="1">IFERROR(VLOOKUP(C46,'🚜 Araç Havuzu'!$A:$L,12,0),"")</f>
        <v/>
      </c>
      <c r="N46" s="48"/>
      <c r="O46" s="48"/>
      <c r="P46" s="48"/>
      <c r="Q46" s="10"/>
      <c r="R46" s="18"/>
    </row>
    <row r="47" spans="1:18" ht="18" customHeight="1" x14ac:dyDescent="0.3">
      <c r="A47" s="47"/>
      <c r="B47" s="5"/>
      <c r="C47" s="47"/>
      <c r="D47" s="11" t="str">
        <f ca="1">IFERROR(VLOOKUP(C47,'🚜 Araç Havuzu'!$A:$B,2,0),"")</f>
        <v/>
      </c>
      <c r="E47" s="6"/>
      <c r="F47" s="6"/>
      <c r="G47" s="6"/>
      <c r="H47" s="5"/>
      <c r="I47" s="47"/>
      <c r="J47" s="5"/>
      <c r="K47" s="47"/>
      <c r="L47" s="12"/>
      <c r="M47" s="13" t="str">
        <f ca="1">IFERROR(VLOOKUP(C47,'🚜 Araç Havuzu'!$A:$L,12,0),"")</f>
        <v/>
      </c>
      <c r="N47" s="47"/>
      <c r="O47" s="47"/>
      <c r="P47" s="47"/>
      <c r="Q47" s="6"/>
      <c r="R47" s="14"/>
    </row>
    <row r="48" spans="1:18" ht="18" customHeight="1" x14ac:dyDescent="0.3">
      <c r="A48" s="48"/>
      <c r="B48" s="9"/>
      <c r="C48" s="48"/>
      <c r="D48" s="15" t="str">
        <f ca="1">IFERROR(VLOOKUP(C48,'🚜 Araç Havuzu'!$A:$B,2,0),"")</f>
        <v/>
      </c>
      <c r="E48" s="10"/>
      <c r="F48" s="10"/>
      <c r="G48" s="10"/>
      <c r="H48" s="9"/>
      <c r="I48" s="48"/>
      <c r="J48" s="9"/>
      <c r="K48" s="48"/>
      <c r="L48" s="16"/>
      <c r="M48" s="17" t="str">
        <f ca="1">IFERROR(VLOOKUP(C48,'🚜 Araç Havuzu'!$A:$L,12,0),"")</f>
        <v/>
      </c>
      <c r="N48" s="48"/>
      <c r="O48" s="48"/>
      <c r="P48" s="48"/>
      <c r="Q48" s="10"/>
      <c r="R48" s="18"/>
    </row>
    <row r="49" spans="1:18" ht="18" customHeight="1" x14ac:dyDescent="0.3">
      <c r="A49" s="47"/>
      <c r="B49" s="5"/>
      <c r="C49" s="47"/>
      <c r="D49" s="11" t="str">
        <f ca="1">IFERROR(VLOOKUP(C49,'🚜 Araç Havuzu'!$A:$B,2,0),"")</f>
        <v/>
      </c>
      <c r="E49" s="6"/>
      <c r="F49" s="6"/>
      <c r="G49" s="6"/>
      <c r="H49" s="5"/>
      <c r="I49" s="47"/>
      <c r="J49" s="5"/>
      <c r="K49" s="47"/>
      <c r="L49" s="12"/>
      <c r="M49" s="13" t="str">
        <f ca="1">IFERROR(VLOOKUP(C49,'🚜 Araç Havuzu'!$A:$L,12,0),"")</f>
        <v/>
      </c>
      <c r="N49" s="47"/>
      <c r="O49" s="47"/>
      <c r="P49" s="47"/>
      <c r="Q49" s="6"/>
      <c r="R49" s="14"/>
    </row>
    <row r="50" spans="1:18" ht="18" customHeight="1" x14ac:dyDescent="0.3">
      <c r="A50" s="48"/>
      <c r="B50" s="9"/>
      <c r="C50" s="48"/>
      <c r="D50" s="15" t="str">
        <f ca="1">IFERROR(VLOOKUP(C50,'🚜 Araç Havuzu'!$A:$B,2,0),"")</f>
        <v/>
      </c>
      <c r="E50" s="10"/>
      <c r="F50" s="10"/>
      <c r="G50" s="10"/>
      <c r="H50" s="9"/>
      <c r="I50" s="48"/>
      <c r="J50" s="9"/>
      <c r="K50" s="48"/>
      <c r="L50" s="16"/>
      <c r="M50" s="17" t="str">
        <f ca="1">IFERROR(VLOOKUP(C50,'🚜 Araç Havuzu'!$A:$L,12,0),"")</f>
        <v/>
      </c>
      <c r="N50" s="48"/>
      <c r="O50" s="48"/>
      <c r="P50" s="48"/>
      <c r="Q50" s="10"/>
      <c r="R50" s="18"/>
    </row>
    <row r="51" spans="1:18" ht="18" customHeight="1" x14ac:dyDescent="0.3">
      <c r="A51" s="47"/>
      <c r="B51" s="5"/>
      <c r="C51" s="47"/>
      <c r="D51" s="11" t="str">
        <f ca="1">IFERROR(VLOOKUP(C51,'🚜 Araç Havuzu'!$A:$B,2,0),"")</f>
        <v/>
      </c>
      <c r="E51" s="6"/>
      <c r="F51" s="6"/>
      <c r="G51" s="6"/>
      <c r="H51" s="5"/>
      <c r="I51" s="47"/>
      <c r="J51" s="5"/>
      <c r="K51" s="47"/>
      <c r="L51" s="12"/>
      <c r="M51" s="13" t="str">
        <f ca="1">IFERROR(VLOOKUP(C51,'🚜 Araç Havuzu'!$A:$L,12,0),"")</f>
        <v/>
      </c>
      <c r="N51" s="47"/>
      <c r="O51" s="47"/>
      <c r="P51" s="47"/>
      <c r="Q51" s="6"/>
      <c r="R51" s="14"/>
    </row>
    <row r="52" spans="1:18" ht="18" customHeight="1" x14ac:dyDescent="0.3">
      <c r="A52" s="48"/>
      <c r="B52" s="9"/>
      <c r="C52" s="48"/>
      <c r="D52" s="15" t="str">
        <f ca="1">IFERROR(VLOOKUP(C52,'🚜 Araç Havuzu'!$A:$B,2,0),"")</f>
        <v/>
      </c>
      <c r="E52" s="10"/>
      <c r="F52" s="10"/>
      <c r="G52" s="10"/>
      <c r="H52" s="9"/>
      <c r="I52" s="48"/>
      <c r="J52" s="9"/>
      <c r="K52" s="48"/>
      <c r="L52" s="16"/>
      <c r="M52" s="17" t="str">
        <f ca="1">IFERROR(VLOOKUP(C52,'🚜 Araç Havuzu'!$A:$L,12,0),"")</f>
        <v/>
      </c>
      <c r="N52" s="48"/>
      <c r="O52" s="48"/>
      <c r="P52" s="48"/>
      <c r="Q52" s="10"/>
      <c r="R52" s="18"/>
    </row>
    <row r="53" spans="1:18" ht="18" customHeight="1" x14ac:dyDescent="0.3">
      <c r="A53" s="47"/>
      <c r="B53" s="5"/>
      <c r="C53" s="47"/>
      <c r="D53" s="11" t="str">
        <f ca="1">IFERROR(VLOOKUP(C53,'🚜 Araç Havuzu'!$A:$B,2,0),"")</f>
        <v/>
      </c>
      <c r="E53" s="6"/>
      <c r="F53" s="6"/>
      <c r="G53" s="6"/>
      <c r="H53" s="5"/>
      <c r="I53" s="47"/>
      <c r="J53" s="5"/>
      <c r="K53" s="47"/>
      <c r="L53" s="12"/>
      <c r="M53" s="13" t="str">
        <f ca="1">IFERROR(VLOOKUP(C53,'🚜 Araç Havuzu'!$A:$L,12,0),"")</f>
        <v/>
      </c>
      <c r="N53" s="47"/>
      <c r="O53" s="47"/>
      <c r="P53" s="47"/>
      <c r="Q53" s="6"/>
      <c r="R53" s="14"/>
    </row>
    <row r="54" spans="1:18" ht="18" customHeight="1" x14ac:dyDescent="0.3">
      <c r="A54" s="48"/>
      <c r="B54" s="9"/>
      <c r="C54" s="48"/>
      <c r="D54" s="15" t="str">
        <f ca="1">IFERROR(VLOOKUP(C54,'🚜 Araç Havuzu'!$A:$B,2,0),"")</f>
        <v/>
      </c>
      <c r="E54" s="10"/>
      <c r="F54" s="10"/>
      <c r="G54" s="10"/>
      <c r="H54" s="9"/>
      <c r="I54" s="48"/>
      <c r="J54" s="9"/>
      <c r="K54" s="48"/>
      <c r="L54" s="16"/>
      <c r="M54" s="17" t="str">
        <f ca="1">IFERROR(VLOOKUP(C54,'🚜 Araç Havuzu'!$A:$L,12,0),"")</f>
        <v/>
      </c>
      <c r="N54" s="48"/>
      <c r="O54" s="48"/>
      <c r="P54" s="48"/>
      <c r="Q54" s="10"/>
      <c r="R54" s="18"/>
    </row>
    <row r="55" spans="1:18" ht="18" customHeight="1" x14ac:dyDescent="0.3">
      <c r="A55" s="47"/>
      <c r="B55" s="5"/>
      <c r="C55" s="47"/>
      <c r="D55" s="11" t="str">
        <f ca="1">IFERROR(VLOOKUP(C55,'🚜 Araç Havuzu'!$A:$B,2,0),"")</f>
        <v/>
      </c>
      <c r="E55" s="6"/>
      <c r="F55" s="6"/>
      <c r="G55" s="6"/>
      <c r="H55" s="5"/>
      <c r="I55" s="47"/>
      <c r="J55" s="5"/>
      <c r="K55" s="47"/>
      <c r="L55" s="12"/>
      <c r="M55" s="13" t="str">
        <f ca="1">IFERROR(VLOOKUP(C55,'🚜 Araç Havuzu'!$A:$L,12,0),"")</f>
        <v/>
      </c>
      <c r="N55" s="47"/>
      <c r="O55" s="47"/>
      <c r="P55" s="47"/>
      <c r="Q55" s="6"/>
      <c r="R55" s="14"/>
    </row>
    <row r="56" spans="1:18" ht="18" customHeight="1" x14ac:dyDescent="0.3">
      <c r="A56" s="48"/>
      <c r="B56" s="9"/>
      <c r="C56" s="48"/>
      <c r="D56" s="15" t="str">
        <f ca="1">IFERROR(VLOOKUP(C56,'🚜 Araç Havuzu'!$A:$B,2,0),"")</f>
        <v/>
      </c>
      <c r="E56" s="10"/>
      <c r="F56" s="10"/>
      <c r="G56" s="10"/>
      <c r="H56" s="9"/>
      <c r="I56" s="48"/>
      <c r="J56" s="9"/>
      <c r="K56" s="48"/>
      <c r="L56" s="16"/>
      <c r="M56" s="17" t="str">
        <f ca="1">IFERROR(VLOOKUP(C56,'🚜 Araç Havuzu'!$A:$L,12,0),"")</f>
        <v/>
      </c>
      <c r="N56" s="48"/>
      <c r="O56" s="48"/>
      <c r="P56" s="48"/>
      <c r="Q56" s="10"/>
      <c r="R56" s="18"/>
    </row>
    <row r="57" spans="1:18" ht="18" customHeight="1" x14ac:dyDescent="0.3">
      <c r="A57" s="47"/>
      <c r="B57" s="5"/>
      <c r="C57" s="47"/>
      <c r="D57" s="11" t="str">
        <f ca="1">IFERROR(VLOOKUP(C57,'🚜 Araç Havuzu'!$A:$B,2,0),"")</f>
        <v/>
      </c>
      <c r="E57" s="6"/>
      <c r="F57" s="6"/>
      <c r="G57" s="6"/>
      <c r="H57" s="5"/>
      <c r="I57" s="47"/>
      <c r="J57" s="5"/>
      <c r="K57" s="47"/>
      <c r="L57" s="12"/>
      <c r="M57" s="13" t="str">
        <f ca="1">IFERROR(VLOOKUP(C57,'🚜 Araç Havuzu'!$A:$L,12,0),"")</f>
        <v/>
      </c>
      <c r="N57" s="47"/>
      <c r="O57" s="47"/>
      <c r="P57" s="47"/>
      <c r="Q57" s="6"/>
      <c r="R57" s="14"/>
    </row>
    <row r="58" spans="1:18" ht="18" customHeight="1" x14ac:dyDescent="0.3">
      <c r="A58" s="48"/>
      <c r="B58" s="9"/>
      <c r="C58" s="48"/>
      <c r="D58" s="15" t="str">
        <f ca="1">IFERROR(VLOOKUP(C58,'🚜 Araç Havuzu'!$A:$B,2,0),"")</f>
        <v/>
      </c>
      <c r="E58" s="10"/>
      <c r="F58" s="10"/>
      <c r="G58" s="10"/>
      <c r="H58" s="9"/>
      <c r="I58" s="48"/>
      <c r="J58" s="9"/>
      <c r="K58" s="48"/>
      <c r="L58" s="16"/>
      <c r="M58" s="17" t="str">
        <f ca="1">IFERROR(VLOOKUP(C58,'🚜 Araç Havuzu'!$A:$L,12,0),"")</f>
        <v/>
      </c>
      <c r="N58" s="48"/>
      <c r="O58" s="48"/>
      <c r="P58" s="48"/>
      <c r="Q58" s="10"/>
      <c r="R58" s="18"/>
    </row>
    <row r="59" spans="1:18" ht="18" customHeight="1" x14ac:dyDescent="0.3">
      <c r="A59" s="47"/>
      <c r="B59" s="5"/>
      <c r="C59" s="47"/>
      <c r="D59" s="11" t="str">
        <f ca="1">IFERROR(VLOOKUP(C59,'🚜 Araç Havuzu'!$A:$B,2,0),"")</f>
        <v/>
      </c>
      <c r="E59" s="6"/>
      <c r="F59" s="6"/>
      <c r="G59" s="6"/>
      <c r="H59" s="5"/>
      <c r="I59" s="47"/>
      <c r="J59" s="5"/>
      <c r="K59" s="47"/>
      <c r="L59" s="12"/>
      <c r="M59" s="13" t="str">
        <f ca="1">IFERROR(VLOOKUP(C59,'🚜 Araç Havuzu'!$A:$L,12,0),"")</f>
        <v/>
      </c>
      <c r="N59" s="47"/>
      <c r="O59" s="47"/>
      <c r="P59" s="47"/>
      <c r="Q59" s="6"/>
      <c r="R59" s="14"/>
    </row>
    <row r="60" spans="1:18" ht="18" customHeight="1" x14ac:dyDescent="0.3">
      <c r="A60" s="48"/>
      <c r="B60" s="9"/>
      <c r="C60" s="48"/>
      <c r="D60" s="15" t="str">
        <f ca="1">IFERROR(VLOOKUP(C60,'🚜 Araç Havuzu'!$A:$B,2,0),"")</f>
        <v/>
      </c>
      <c r="E60" s="10"/>
      <c r="F60" s="10"/>
      <c r="G60" s="10"/>
      <c r="H60" s="9"/>
      <c r="I60" s="48"/>
      <c r="J60" s="9"/>
      <c r="K60" s="48"/>
      <c r="L60" s="16"/>
      <c r="M60" s="17" t="str">
        <f ca="1">IFERROR(VLOOKUP(C60,'🚜 Araç Havuzu'!$A:$L,12,0),"")</f>
        <v/>
      </c>
      <c r="N60" s="48"/>
      <c r="O60" s="48"/>
      <c r="P60" s="48"/>
      <c r="Q60" s="10"/>
      <c r="R60" s="18"/>
    </row>
    <row r="61" spans="1:18" ht="18" customHeight="1" x14ac:dyDescent="0.3">
      <c r="A61" s="47"/>
      <c r="B61" s="5"/>
      <c r="C61" s="47"/>
      <c r="D61" s="11" t="str">
        <f ca="1">IFERROR(VLOOKUP(C61,'🚜 Araç Havuzu'!$A:$B,2,0),"")</f>
        <v/>
      </c>
      <c r="E61" s="6"/>
      <c r="F61" s="6"/>
      <c r="G61" s="6"/>
      <c r="H61" s="5"/>
      <c r="I61" s="47"/>
      <c r="J61" s="5"/>
      <c r="K61" s="47"/>
      <c r="L61" s="12"/>
      <c r="M61" s="13" t="str">
        <f ca="1">IFERROR(VLOOKUP(C61,'🚜 Araç Havuzu'!$A:$L,12,0),"")</f>
        <v/>
      </c>
      <c r="N61" s="47"/>
      <c r="O61" s="47"/>
      <c r="P61" s="47"/>
      <c r="Q61" s="6"/>
      <c r="R61" s="14"/>
    </row>
    <row r="62" spans="1:18" ht="18" customHeight="1" x14ac:dyDescent="0.3">
      <c r="A62" s="48"/>
      <c r="B62" s="9"/>
      <c r="C62" s="48"/>
      <c r="D62" s="15" t="str">
        <f ca="1">IFERROR(VLOOKUP(C62,'🚜 Araç Havuzu'!$A:$B,2,0),"")</f>
        <v/>
      </c>
      <c r="E62" s="10"/>
      <c r="F62" s="10"/>
      <c r="G62" s="10"/>
      <c r="H62" s="9"/>
      <c r="I62" s="48"/>
      <c r="J62" s="9"/>
      <c r="K62" s="48"/>
      <c r="L62" s="16"/>
      <c r="M62" s="17" t="str">
        <f ca="1">IFERROR(VLOOKUP(C62,'🚜 Araç Havuzu'!$A:$L,12,0),"")</f>
        <v/>
      </c>
      <c r="N62" s="48"/>
      <c r="O62" s="48"/>
      <c r="P62" s="48"/>
      <c r="Q62" s="10"/>
      <c r="R62" s="18"/>
    </row>
    <row r="63" spans="1:18" ht="18" customHeight="1" x14ac:dyDescent="0.3">
      <c r="A63" s="47"/>
      <c r="B63" s="5"/>
      <c r="C63" s="47"/>
      <c r="D63" s="11" t="str">
        <f ca="1">IFERROR(VLOOKUP(C63,'🚜 Araç Havuzu'!$A:$B,2,0),"")</f>
        <v/>
      </c>
      <c r="E63" s="6"/>
      <c r="F63" s="6"/>
      <c r="G63" s="6"/>
      <c r="H63" s="5"/>
      <c r="I63" s="47"/>
      <c r="J63" s="5"/>
      <c r="K63" s="47"/>
      <c r="L63" s="12"/>
      <c r="M63" s="13" t="str">
        <f ca="1">IFERROR(VLOOKUP(C63,'🚜 Araç Havuzu'!$A:$L,12,0),"")</f>
        <v/>
      </c>
      <c r="N63" s="47"/>
      <c r="O63" s="47"/>
      <c r="P63" s="47"/>
      <c r="Q63" s="6"/>
      <c r="R63" s="14"/>
    </row>
    <row r="64" spans="1:18" ht="18" customHeight="1" x14ac:dyDescent="0.3">
      <c r="A64" s="48"/>
      <c r="B64" s="9"/>
      <c r="C64" s="48"/>
      <c r="D64" s="15" t="str">
        <f ca="1">IFERROR(VLOOKUP(C64,'🚜 Araç Havuzu'!$A:$B,2,0),"")</f>
        <v/>
      </c>
      <c r="E64" s="10"/>
      <c r="F64" s="10"/>
      <c r="G64" s="10"/>
      <c r="H64" s="9"/>
      <c r="I64" s="48"/>
      <c r="J64" s="9"/>
      <c r="K64" s="48"/>
      <c r="L64" s="16"/>
      <c r="M64" s="17" t="str">
        <f ca="1">IFERROR(VLOOKUP(C64,'🚜 Araç Havuzu'!$A:$L,12,0),"")</f>
        <v/>
      </c>
      <c r="N64" s="48"/>
      <c r="O64" s="48"/>
      <c r="P64" s="48"/>
      <c r="Q64" s="10"/>
      <c r="R64" s="18"/>
    </row>
    <row r="65" spans="1:18" ht="18" customHeight="1" x14ac:dyDescent="0.3">
      <c r="A65" s="47"/>
      <c r="B65" s="5"/>
      <c r="C65" s="47"/>
      <c r="D65" s="11" t="str">
        <f ca="1">IFERROR(VLOOKUP(C65,'🚜 Araç Havuzu'!$A:$B,2,0),"")</f>
        <v/>
      </c>
      <c r="E65" s="6"/>
      <c r="F65" s="6"/>
      <c r="G65" s="6"/>
      <c r="H65" s="5"/>
      <c r="I65" s="47"/>
      <c r="J65" s="5"/>
      <c r="K65" s="47"/>
      <c r="L65" s="12"/>
      <c r="M65" s="13" t="str">
        <f ca="1">IFERROR(VLOOKUP(C65,'🚜 Araç Havuzu'!$A:$L,12,0),"")</f>
        <v/>
      </c>
      <c r="N65" s="47"/>
      <c r="O65" s="47"/>
      <c r="P65" s="47"/>
      <c r="Q65" s="6"/>
      <c r="R65" s="14"/>
    </row>
    <row r="66" spans="1:18" ht="18" customHeight="1" x14ac:dyDescent="0.3">
      <c r="A66" s="48"/>
      <c r="B66" s="9"/>
      <c r="C66" s="48"/>
      <c r="D66" s="15" t="str">
        <f ca="1">IFERROR(VLOOKUP(C66,'🚜 Araç Havuzu'!$A:$B,2,0),"")</f>
        <v/>
      </c>
      <c r="E66" s="10"/>
      <c r="F66" s="10"/>
      <c r="G66" s="10"/>
      <c r="H66" s="9"/>
      <c r="I66" s="48"/>
      <c r="J66" s="9"/>
      <c r="K66" s="48"/>
      <c r="L66" s="16"/>
      <c r="M66" s="17" t="str">
        <f ca="1">IFERROR(VLOOKUP(C66,'🚜 Araç Havuzu'!$A:$L,12,0),"")</f>
        <v/>
      </c>
      <c r="N66" s="48"/>
      <c r="O66" s="48"/>
      <c r="P66" s="48"/>
      <c r="Q66" s="10"/>
      <c r="R66" s="18"/>
    </row>
    <row r="67" spans="1:18" ht="18" customHeight="1" x14ac:dyDescent="0.3">
      <c r="A67" s="47"/>
      <c r="B67" s="5"/>
      <c r="C67" s="47"/>
      <c r="D67" s="11" t="str">
        <f ca="1">IFERROR(VLOOKUP(C67,'🚜 Araç Havuzu'!$A:$B,2,0),"")</f>
        <v/>
      </c>
      <c r="E67" s="6"/>
      <c r="F67" s="6"/>
      <c r="G67" s="6"/>
      <c r="H67" s="5"/>
      <c r="I67" s="47"/>
      <c r="J67" s="5"/>
      <c r="K67" s="47"/>
      <c r="L67" s="12"/>
      <c r="M67" s="13" t="str">
        <f ca="1">IFERROR(VLOOKUP(C67,'🚜 Araç Havuzu'!$A:$L,12,0),"")</f>
        <v/>
      </c>
      <c r="N67" s="47"/>
      <c r="O67" s="47"/>
      <c r="P67" s="47"/>
      <c r="Q67" s="6"/>
      <c r="R67" s="14"/>
    </row>
    <row r="68" spans="1:18" ht="18" customHeight="1" x14ac:dyDescent="0.3">
      <c r="A68" s="48"/>
      <c r="B68" s="9"/>
      <c r="C68" s="48"/>
      <c r="D68" s="15" t="str">
        <f ca="1">IFERROR(VLOOKUP(C68,'🚜 Araç Havuzu'!$A:$B,2,0),"")</f>
        <v/>
      </c>
      <c r="E68" s="10"/>
      <c r="F68" s="10"/>
      <c r="G68" s="10"/>
      <c r="H68" s="9"/>
      <c r="I68" s="48"/>
      <c r="J68" s="9"/>
      <c r="K68" s="48"/>
      <c r="L68" s="16"/>
      <c r="M68" s="17" t="str">
        <f ca="1">IFERROR(VLOOKUP(C68,'🚜 Araç Havuzu'!$A:$L,12,0),"")</f>
        <v/>
      </c>
      <c r="N68" s="48"/>
      <c r="O68" s="48"/>
      <c r="P68" s="48"/>
      <c r="Q68" s="10"/>
      <c r="R68" s="18"/>
    </row>
    <row r="69" spans="1:18" ht="18" customHeight="1" x14ac:dyDescent="0.3">
      <c r="A69" s="47"/>
      <c r="B69" s="5"/>
      <c r="C69" s="47"/>
      <c r="D69" s="11" t="str">
        <f ca="1">IFERROR(VLOOKUP(C69,'🚜 Araç Havuzu'!$A:$B,2,0),"")</f>
        <v/>
      </c>
      <c r="E69" s="6"/>
      <c r="F69" s="6"/>
      <c r="G69" s="6"/>
      <c r="H69" s="5"/>
      <c r="I69" s="47"/>
      <c r="J69" s="5"/>
      <c r="K69" s="47"/>
      <c r="L69" s="12"/>
      <c r="M69" s="13" t="str">
        <f ca="1">IFERROR(VLOOKUP(C69,'🚜 Araç Havuzu'!$A:$L,12,0),"")</f>
        <v/>
      </c>
      <c r="N69" s="47"/>
      <c r="O69" s="47"/>
      <c r="P69" s="47"/>
      <c r="Q69" s="6"/>
      <c r="R69" s="14"/>
    </row>
    <row r="70" spans="1:18" ht="18" customHeight="1" x14ac:dyDescent="0.3">
      <c r="A70" s="48"/>
      <c r="B70" s="9"/>
      <c r="C70" s="48"/>
      <c r="D70" s="15" t="str">
        <f ca="1">IFERROR(VLOOKUP(C70,'🚜 Araç Havuzu'!$A:$B,2,0),"")</f>
        <v/>
      </c>
      <c r="E70" s="10"/>
      <c r="F70" s="10"/>
      <c r="G70" s="10"/>
      <c r="H70" s="9"/>
      <c r="I70" s="48"/>
      <c r="J70" s="9"/>
      <c r="K70" s="48"/>
      <c r="L70" s="16"/>
      <c r="M70" s="17" t="str">
        <f ca="1">IFERROR(VLOOKUP(C70,'🚜 Araç Havuzu'!$A:$L,12,0),"")</f>
        <v/>
      </c>
      <c r="N70" s="48"/>
      <c r="O70" s="48"/>
      <c r="P70" s="48"/>
      <c r="Q70" s="10"/>
      <c r="R70" s="18"/>
    </row>
    <row r="71" spans="1:18" ht="18" customHeight="1" x14ac:dyDescent="0.3">
      <c r="A71" s="47"/>
      <c r="B71" s="5"/>
      <c r="C71" s="47"/>
      <c r="D71" s="11" t="str">
        <f ca="1">IFERROR(VLOOKUP(C71,'🚜 Araç Havuzu'!$A:$B,2,0),"")</f>
        <v/>
      </c>
      <c r="E71" s="6"/>
      <c r="F71" s="6"/>
      <c r="G71" s="6"/>
      <c r="H71" s="5"/>
      <c r="I71" s="47"/>
      <c r="J71" s="5"/>
      <c r="K71" s="47"/>
      <c r="L71" s="12"/>
      <c r="M71" s="13" t="str">
        <f ca="1">IFERROR(VLOOKUP(C71,'🚜 Araç Havuzu'!$A:$L,12,0),"")</f>
        <v/>
      </c>
      <c r="N71" s="47"/>
      <c r="O71" s="47"/>
      <c r="P71" s="47"/>
      <c r="Q71" s="6"/>
      <c r="R71" s="14"/>
    </row>
    <row r="72" spans="1:18" ht="18" customHeight="1" x14ac:dyDescent="0.3">
      <c r="A72" s="48"/>
      <c r="B72" s="9"/>
      <c r="C72" s="48"/>
      <c r="D72" s="15" t="str">
        <f ca="1">IFERROR(VLOOKUP(C72,'🚜 Araç Havuzu'!$A:$B,2,0),"")</f>
        <v/>
      </c>
      <c r="E72" s="10"/>
      <c r="F72" s="10"/>
      <c r="G72" s="10"/>
      <c r="H72" s="9"/>
      <c r="I72" s="48"/>
      <c r="J72" s="9"/>
      <c r="K72" s="48"/>
      <c r="L72" s="16"/>
      <c r="M72" s="17" t="str">
        <f ca="1">IFERROR(VLOOKUP(C72,'🚜 Araç Havuzu'!$A:$L,12,0),"")</f>
        <v/>
      </c>
      <c r="N72" s="48"/>
      <c r="O72" s="48"/>
      <c r="P72" s="48"/>
      <c r="Q72" s="10"/>
      <c r="R72" s="18"/>
    </row>
    <row r="73" spans="1:18" ht="18" customHeight="1" x14ac:dyDescent="0.3">
      <c r="A73" s="47"/>
      <c r="B73" s="5"/>
      <c r="C73" s="47"/>
      <c r="D73" s="11" t="str">
        <f ca="1">IFERROR(VLOOKUP(C73,'🚜 Araç Havuzu'!$A:$B,2,0),"")</f>
        <v/>
      </c>
      <c r="E73" s="6"/>
      <c r="F73" s="6"/>
      <c r="G73" s="6"/>
      <c r="H73" s="5"/>
      <c r="I73" s="47"/>
      <c r="J73" s="5"/>
      <c r="K73" s="47"/>
      <c r="L73" s="12"/>
      <c r="M73" s="13" t="str">
        <f ca="1">IFERROR(VLOOKUP(C73,'🚜 Araç Havuzu'!$A:$L,12,0),"")</f>
        <v/>
      </c>
      <c r="N73" s="47"/>
      <c r="O73" s="47"/>
      <c r="P73" s="47"/>
      <c r="Q73" s="6"/>
      <c r="R73" s="14"/>
    </row>
    <row r="74" spans="1:18" ht="18" customHeight="1" x14ac:dyDescent="0.3">
      <c r="A74" s="48"/>
      <c r="B74" s="9"/>
      <c r="C74" s="48"/>
      <c r="D74" s="15" t="str">
        <f ca="1">IFERROR(VLOOKUP(C74,'🚜 Araç Havuzu'!$A:$B,2,0),"")</f>
        <v/>
      </c>
      <c r="E74" s="10"/>
      <c r="F74" s="10"/>
      <c r="G74" s="10"/>
      <c r="H74" s="9"/>
      <c r="I74" s="48"/>
      <c r="J74" s="9"/>
      <c r="K74" s="48"/>
      <c r="L74" s="16"/>
      <c r="M74" s="17" t="str">
        <f ca="1">IFERROR(VLOOKUP(C74,'🚜 Araç Havuzu'!$A:$L,12,0),"")</f>
        <v/>
      </c>
      <c r="N74" s="48"/>
      <c r="O74" s="48"/>
      <c r="P74" s="48"/>
      <c r="Q74" s="10"/>
      <c r="R74" s="18"/>
    </row>
    <row r="75" spans="1:18" ht="18" customHeight="1" x14ac:dyDescent="0.3">
      <c r="A75" s="47"/>
      <c r="B75" s="5"/>
      <c r="C75" s="47"/>
      <c r="D75" s="11" t="str">
        <f ca="1">IFERROR(VLOOKUP(C75,'🚜 Araç Havuzu'!$A:$B,2,0),"")</f>
        <v/>
      </c>
      <c r="E75" s="6"/>
      <c r="F75" s="6"/>
      <c r="G75" s="6"/>
      <c r="H75" s="5"/>
      <c r="I75" s="47"/>
      <c r="J75" s="5"/>
      <c r="K75" s="47"/>
      <c r="L75" s="12"/>
      <c r="M75" s="13" t="str">
        <f ca="1">IFERROR(VLOOKUP(C75,'🚜 Araç Havuzu'!$A:$L,12,0),"")</f>
        <v/>
      </c>
      <c r="N75" s="47"/>
      <c r="O75" s="47"/>
      <c r="P75" s="47"/>
      <c r="Q75" s="6"/>
      <c r="R75" s="14"/>
    </row>
    <row r="76" spans="1:18" ht="18" customHeight="1" x14ac:dyDescent="0.3">
      <c r="A76" s="48"/>
      <c r="B76" s="9"/>
      <c r="C76" s="48"/>
      <c r="D76" s="15" t="str">
        <f ca="1">IFERROR(VLOOKUP(C76,'🚜 Araç Havuzu'!$A:$B,2,0),"")</f>
        <v/>
      </c>
      <c r="E76" s="10"/>
      <c r="F76" s="10"/>
      <c r="G76" s="10"/>
      <c r="H76" s="9"/>
      <c r="I76" s="48"/>
      <c r="J76" s="9"/>
      <c r="K76" s="48"/>
      <c r="L76" s="16"/>
      <c r="M76" s="17" t="str">
        <f ca="1">IFERROR(VLOOKUP(C76,'🚜 Araç Havuzu'!$A:$L,12,0),"")</f>
        <v/>
      </c>
      <c r="N76" s="48"/>
      <c r="O76" s="48"/>
      <c r="P76" s="48"/>
      <c r="Q76" s="10"/>
      <c r="R76" s="18"/>
    </row>
    <row r="77" spans="1:18" ht="18" customHeight="1" x14ac:dyDescent="0.3">
      <c r="A77" s="47"/>
      <c r="B77" s="5"/>
      <c r="C77" s="47"/>
      <c r="D77" s="11"/>
      <c r="E77" s="6"/>
      <c r="F77" s="6"/>
      <c r="G77" s="6"/>
      <c r="H77" s="5"/>
      <c r="I77" s="52"/>
      <c r="J77" s="5"/>
      <c r="K77" s="52"/>
      <c r="L77" s="12"/>
      <c r="M77" s="13"/>
      <c r="N77" s="47"/>
      <c r="O77" s="47"/>
      <c r="P77" s="47"/>
      <c r="Q77" s="6"/>
      <c r="R77" s="14"/>
    </row>
    <row r="78" spans="1:18" ht="18" customHeight="1" x14ac:dyDescent="0.3">
      <c r="A78" s="48"/>
      <c r="B78" s="9"/>
      <c r="C78" s="48"/>
      <c r="D78" s="15"/>
      <c r="E78" s="10"/>
      <c r="F78" s="10"/>
      <c r="G78" s="10"/>
      <c r="H78" s="9"/>
      <c r="I78" s="53"/>
      <c r="J78" s="9"/>
      <c r="K78" s="53"/>
      <c r="L78" s="16"/>
      <c r="M78" s="17"/>
      <c r="N78" s="48"/>
      <c r="O78" s="48"/>
      <c r="P78" s="48"/>
      <c r="Q78" s="10"/>
      <c r="R78" s="18"/>
    </row>
    <row r="79" spans="1:18" ht="18" customHeight="1" x14ac:dyDescent="0.3">
      <c r="A79" s="47"/>
      <c r="B79" s="5"/>
      <c r="C79" s="47"/>
      <c r="D79" s="11" t="str">
        <f ca="1">IFERROR(VLOOKUP(C79,'🚜 Araç Havuzu'!$A:$B,2,0),"")</f>
        <v/>
      </c>
      <c r="E79" s="6"/>
      <c r="F79" s="6"/>
      <c r="G79" s="6"/>
      <c r="H79" s="5"/>
      <c r="I79" s="47"/>
      <c r="J79" s="5"/>
      <c r="K79" s="47"/>
      <c r="L79" s="12"/>
      <c r="M79" s="13" t="str">
        <f ca="1">IFERROR(VLOOKUP(C79,'🚜 Araç Havuzu'!$A:$L,12,0),"")</f>
        <v/>
      </c>
      <c r="N79" s="47"/>
      <c r="O79" s="47"/>
      <c r="P79" s="47"/>
      <c r="Q79" s="6"/>
      <c r="R79" s="14"/>
    </row>
    <row r="80" spans="1:18" ht="18" customHeight="1" x14ac:dyDescent="0.3">
      <c r="A80" s="48"/>
      <c r="B80" s="9"/>
      <c r="C80" s="48"/>
      <c r="D80" s="15" t="str">
        <f ca="1">IFERROR(VLOOKUP(C80,'🚜 Araç Havuzu'!$A:$B,2,0),"")</f>
        <v/>
      </c>
      <c r="E80" s="10"/>
      <c r="F80" s="10"/>
      <c r="G80" s="10"/>
      <c r="H80" s="9"/>
      <c r="I80" s="48"/>
      <c r="J80" s="9"/>
      <c r="K80" s="48"/>
      <c r="L80" s="16"/>
      <c r="M80" s="17" t="str">
        <f ca="1">IFERROR(VLOOKUP(C80,'🚜 Araç Havuzu'!$A:$L,12,0),"")</f>
        <v/>
      </c>
      <c r="N80" s="48"/>
      <c r="O80" s="48"/>
      <c r="P80" s="48"/>
      <c r="Q80" s="10"/>
      <c r="R80" s="18"/>
    </row>
    <row r="81" spans="1:18" ht="18" customHeight="1" x14ac:dyDescent="0.3">
      <c r="A81" s="47"/>
      <c r="B81" s="5"/>
      <c r="C81" s="47"/>
      <c r="D81" s="11" t="str">
        <f ca="1">IFERROR(VLOOKUP(C81,'🚜 Araç Havuzu'!$A:$B,2,0),"")</f>
        <v/>
      </c>
      <c r="E81" s="6"/>
      <c r="F81" s="6"/>
      <c r="G81" s="6"/>
      <c r="H81" s="5"/>
      <c r="I81" s="47"/>
      <c r="J81" s="5"/>
      <c r="K81" s="47"/>
      <c r="L81" s="12"/>
      <c r="M81" s="13" t="str">
        <f ca="1">IFERROR(VLOOKUP(C81,'🚜 Araç Havuzu'!$A:$L,12,0),"")</f>
        <v/>
      </c>
      <c r="N81" s="47"/>
      <c r="O81" s="47"/>
      <c r="P81" s="47"/>
      <c r="Q81" s="6"/>
      <c r="R81" s="14"/>
    </row>
    <row r="82" spans="1:18" ht="18" customHeight="1" x14ac:dyDescent="0.3">
      <c r="A82" s="48"/>
      <c r="B82" s="9"/>
      <c r="C82" s="48"/>
      <c r="D82" s="15" t="str">
        <f ca="1">IFERROR(VLOOKUP(C82,'🚜 Araç Havuzu'!$A:$B,2,0),"")</f>
        <v/>
      </c>
      <c r="E82" s="10"/>
      <c r="F82" s="10"/>
      <c r="G82" s="10"/>
      <c r="H82" s="9"/>
      <c r="I82" s="48"/>
      <c r="J82" s="9"/>
      <c r="K82" s="48"/>
      <c r="L82" s="16"/>
      <c r="M82" s="17" t="str">
        <f ca="1">IFERROR(VLOOKUP(C82,'🚜 Araç Havuzu'!$A:$L,12,0),"")</f>
        <v/>
      </c>
      <c r="N82" s="48"/>
      <c r="O82" s="48"/>
      <c r="P82" s="48"/>
      <c r="Q82" s="10"/>
      <c r="R82" s="18"/>
    </row>
    <row r="83" spans="1:18" ht="18" customHeight="1" x14ac:dyDescent="0.3">
      <c r="A83" s="47"/>
      <c r="B83" s="5"/>
      <c r="C83" s="47"/>
      <c r="D83" s="11" t="str">
        <f ca="1">IFERROR(VLOOKUP(C83,'🚜 Araç Havuzu'!$A:$B,2,0),"")</f>
        <v/>
      </c>
      <c r="E83" s="6"/>
      <c r="F83" s="6"/>
      <c r="G83" s="6"/>
      <c r="H83" s="5"/>
      <c r="I83" s="47"/>
      <c r="J83" s="5"/>
      <c r="K83" s="47"/>
      <c r="L83" s="12"/>
      <c r="M83" s="13" t="str">
        <f ca="1">IFERROR(VLOOKUP(C83,'🚜 Araç Havuzu'!$A:$L,12,0),"")</f>
        <v/>
      </c>
      <c r="N83" s="47"/>
      <c r="O83" s="47"/>
      <c r="P83" s="47"/>
      <c r="Q83" s="6"/>
      <c r="R83" s="14"/>
    </row>
    <row r="84" spans="1:18" ht="18" customHeight="1" x14ac:dyDescent="0.3">
      <c r="A84" s="48"/>
      <c r="B84" s="9"/>
      <c r="C84" s="48"/>
      <c r="D84" s="15" t="str">
        <f ca="1">IFERROR(VLOOKUP(C84,'🚜 Araç Havuzu'!$A:$B,2,0),"")</f>
        <v/>
      </c>
      <c r="E84" s="10"/>
      <c r="F84" s="10"/>
      <c r="G84" s="10"/>
      <c r="H84" s="9"/>
      <c r="I84" s="48"/>
      <c r="J84" s="9"/>
      <c r="K84" s="48"/>
      <c r="L84" s="16"/>
      <c r="M84" s="17" t="str">
        <f ca="1">IFERROR(VLOOKUP(C84,'🚜 Araç Havuzu'!$A:$L,12,0),"")</f>
        <v/>
      </c>
      <c r="N84" s="48"/>
      <c r="O84" s="48"/>
      <c r="P84" s="48"/>
      <c r="Q84" s="10"/>
      <c r="R84" s="18"/>
    </row>
    <row r="85" spans="1:18" ht="18" customHeight="1" x14ac:dyDescent="0.3">
      <c r="A85" s="47"/>
      <c r="B85" s="5"/>
      <c r="C85" s="47"/>
      <c r="D85" s="11" t="str">
        <f ca="1">IFERROR(VLOOKUP(C85,'🚜 Araç Havuzu'!$A:$B,2,0),"")</f>
        <v/>
      </c>
      <c r="E85" s="6"/>
      <c r="F85" s="6"/>
      <c r="G85" s="6"/>
      <c r="H85" s="5"/>
      <c r="I85" s="47"/>
      <c r="J85" s="5"/>
      <c r="K85" s="47"/>
      <c r="L85" s="12"/>
      <c r="M85" s="13" t="str">
        <f ca="1">IFERROR(VLOOKUP(C85,'🚜 Araç Havuzu'!$A:$L,12,0),"")</f>
        <v/>
      </c>
      <c r="N85" s="47"/>
      <c r="O85" s="47"/>
      <c r="P85" s="47"/>
      <c r="Q85" s="6"/>
      <c r="R85" s="14"/>
    </row>
    <row r="86" spans="1:18" ht="18" customHeight="1" x14ac:dyDescent="0.3">
      <c r="A86" s="48"/>
      <c r="B86" s="9"/>
      <c r="C86" s="48"/>
      <c r="D86" s="15" t="str">
        <f ca="1">IFERROR(VLOOKUP(C86,'🚜 Araç Havuzu'!$A:$B,2,0),"")</f>
        <v/>
      </c>
      <c r="E86" s="10"/>
      <c r="F86" s="10"/>
      <c r="G86" s="10"/>
      <c r="H86" s="9"/>
      <c r="I86" s="48"/>
      <c r="J86" s="9"/>
      <c r="K86" s="48"/>
      <c r="L86" s="16"/>
      <c r="M86" s="17" t="str">
        <f ca="1">IFERROR(VLOOKUP(C86,'🚜 Araç Havuzu'!$A:$L,12,0),"")</f>
        <v/>
      </c>
      <c r="N86" s="48"/>
      <c r="O86" s="48"/>
      <c r="P86" s="48"/>
      <c r="Q86" s="10"/>
      <c r="R86" s="18"/>
    </row>
    <row r="87" spans="1:18" ht="18" customHeight="1" x14ac:dyDescent="0.3">
      <c r="A87" s="47"/>
      <c r="B87" s="5"/>
      <c r="C87" s="47"/>
      <c r="D87" s="11" t="str">
        <f ca="1">IFERROR(VLOOKUP(C87,'🚜 Araç Havuzu'!$A:$B,2,0),"")</f>
        <v/>
      </c>
      <c r="E87" s="6"/>
      <c r="F87" s="6"/>
      <c r="G87" s="6"/>
      <c r="H87" s="5"/>
      <c r="I87" s="47"/>
      <c r="J87" s="5"/>
      <c r="K87" s="47"/>
      <c r="L87" s="12"/>
      <c r="M87" s="13" t="str">
        <f ca="1">IFERROR(VLOOKUP(C87,'🚜 Araç Havuzu'!$A:$L,12,0),"")</f>
        <v/>
      </c>
      <c r="N87" s="47"/>
      <c r="O87" s="47"/>
      <c r="P87" s="47"/>
      <c r="Q87" s="6"/>
      <c r="R87" s="14"/>
    </row>
    <row r="88" spans="1:18" ht="18" customHeight="1" x14ac:dyDescent="0.3">
      <c r="A88" s="48"/>
      <c r="B88" s="9"/>
      <c r="C88" s="48"/>
      <c r="D88" s="15" t="str">
        <f ca="1">IFERROR(VLOOKUP(C88,'🚜 Araç Havuzu'!$A:$B,2,0),"")</f>
        <v/>
      </c>
      <c r="E88" s="10"/>
      <c r="F88" s="10"/>
      <c r="G88" s="10"/>
      <c r="H88" s="9"/>
      <c r="I88" s="48"/>
      <c r="J88" s="9"/>
      <c r="K88" s="48"/>
      <c r="L88" s="16"/>
      <c r="M88" s="17" t="str">
        <f ca="1">IFERROR(VLOOKUP(C88,'🚜 Araç Havuzu'!$A:$L,12,0),"")</f>
        <v/>
      </c>
      <c r="N88" s="48"/>
      <c r="O88" s="48"/>
      <c r="P88" s="48"/>
      <c r="Q88" s="10"/>
      <c r="R88" s="18"/>
    </row>
    <row r="89" spans="1:18" ht="18" customHeight="1" x14ac:dyDescent="0.3">
      <c r="A89" s="47"/>
      <c r="B89" s="5"/>
      <c r="C89" s="47"/>
      <c r="D89" s="11" t="str">
        <f ca="1">IFERROR(VLOOKUP(C89,'🚜 Araç Havuzu'!$A:$B,2,0),"")</f>
        <v/>
      </c>
      <c r="E89" s="6"/>
      <c r="F89" s="6"/>
      <c r="G89" s="6"/>
      <c r="H89" s="5"/>
      <c r="I89" s="47"/>
      <c r="J89" s="5"/>
      <c r="K89" s="47"/>
      <c r="L89" s="12"/>
      <c r="M89" s="13" t="str">
        <f ca="1">IFERROR(VLOOKUP(C89,'🚜 Araç Havuzu'!$A:$L,12,0),"")</f>
        <v/>
      </c>
      <c r="N89" s="47"/>
      <c r="O89" s="47"/>
      <c r="P89" s="47"/>
      <c r="Q89" s="6"/>
      <c r="R89" s="14"/>
    </row>
    <row r="90" spans="1:18" ht="18" customHeight="1" x14ac:dyDescent="0.3">
      <c r="A90" s="48"/>
      <c r="B90" s="9"/>
      <c r="C90" s="48"/>
      <c r="D90" s="15" t="str">
        <f ca="1">IFERROR(VLOOKUP(C90,'🚜 Araç Havuzu'!$A:$B,2,0),"")</f>
        <v/>
      </c>
      <c r="E90" s="10"/>
      <c r="F90" s="10"/>
      <c r="G90" s="10"/>
      <c r="H90" s="9"/>
      <c r="I90" s="48"/>
      <c r="J90" s="9"/>
      <c r="K90" s="48"/>
      <c r="L90" s="16"/>
      <c r="M90" s="17" t="str">
        <f ca="1">IFERROR(VLOOKUP(C90,'🚜 Araç Havuzu'!$A:$L,12,0),"")</f>
        <v/>
      </c>
      <c r="N90" s="48"/>
      <c r="O90" s="48"/>
      <c r="P90" s="48"/>
      <c r="Q90" s="10"/>
      <c r="R90" s="18"/>
    </row>
    <row r="91" spans="1:18" ht="18" customHeight="1" x14ac:dyDescent="0.3">
      <c r="A91" s="47"/>
      <c r="B91" s="5"/>
      <c r="C91" s="47"/>
      <c r="D91" s="11" t="str">
        <f ca="1">IFERROR(VLOOKUP(C91,'🚜 Araç Havuzu'!$A:$B,2,0),"")</f>
        <v/>
      </c>
      <c r="E91" s="6"/>
      <c r="F91" s="6"/>
      <c r="G91" s="6"/>
      <c r="H91" s="5"/>
      <c r="I91" s="47"/>
      <c r="J91" s="5"/>
      <c r="K91" s="47"/>
      <c r="L91" s="12"/>
      <c r="M91" s="13" t="str">
        <f ca="1">IFERROR(VLOOKUP(C91,'🚜 Araç Havuzu'!$A:$L,12,0),"")</f>
        <v/>
      </c>
      <c r="N91" s="47"/>
      <c r="O91" s="47"/>
      <c r="P91" s="47"/>
      <c r="Q91" s="6"/>
      <c r="R91" s="14"/>
    </row>
    <row r="92" spans="1:18" ht="18" customHeight="1" x14ac:dyDescent="0.3">
      <c r="A92" s="48"/>
      <c r="B92" s="9"/>
      <c r="C92" s="48"/>
      <c r="D92" s="15" t="str">
        <f ca="1">IFERROR(VLOOKUP(C92,'🚜 Araç Havuzu'!$A:$B,2,0),"")</f>
        <v/>
      </c>
      <c r="E92" s="10"/>
      <c r="F92" s="10"/>
      <c r="G92" s="10"/>
      <c r="H92" s="9"/>
      <c r="I92" s="48"/>
      <c r="J92" s="9"/>
      <c r="K92" s="48"/>
      <c r="L92" s="16"/>
      <c r="M92" s="17" t="str">
        <f ca="1">IFERROR(VLOOKUP(C92,'🚜 Araç Havuzu'!$A:$L,12,0),"")</f>
        <v/>
      </c>
      <c r="N92" s="48"/>
      <c r="O92" s="48"/>
      <c r="P92" s="48"/>
      <c r="Q92" s="10"/>
      <c r="R92" s="18"/>
    </row>
    <row r="93" spans="1:18" ht="18" customHeight="1" x14ac:dyDescent="0.3">
      <c r="A93" s="47"/>
      <c r="B93" s="5"/>
      <c r="C93" s="47"/>
      <c r="D93" s="11" t="str">
        <f ca="1">IFERROR(VLOOKUP(C93,'🚜 Araç Havuzu'!$A:$B,2,0),"")</f>
        <v/>
      </c>
      <c r="E93" s="6"/>
      <c r="F93" s="6"/>
      <c r="G93" s="6"/>
      <c r="H93" s="5"/>
      <c r="I93" s="47"/>
      <c r="J93" s="5"/>
      <c r="K93" s="47"/>
      <c r="L93" s="12"/>
      <c r="M93" s="13" t="str">
        <f ca="1">IFERROR(VLOOKUP(C93,'🚜 Araç Havuzu'!$A:$L,12,0),"")</f>
        <v/>
      </c>
      <c r="N93" s="47"/>
      <c r="O93" s="47"/>
      <c r="P93" s="47"/>
      <c r="Q93" s="6"/>
      <c r="R93" s="14"/>
    </row>
    <row r="94" spans="1:18" ht="18" customHeight="1" x14ac:dyDescent="0.3">
      <c r="A94" s="48"/>
      <c r="B94" s="9"/>
      <c r="C94" s="48"/>
      <c r="D94" s="15" t="str">
        <f ca="1">IFERROR(VLOOKUP(C94,'🚜 Araç Havuzu'!$A:$B,2,0),"")</f>
        <v/>
      </c>
      <c r="E94" s="10"/>
      <c r="F94" s="10"/>
      <c r="G94" s="10"/>
      <c r="H94" s="9"/>
      <c r="I94" s="48"/>
      <c r="J94" s="9"/>
      <c r="K94" s="48"/>
      <c r="L94" s="16"/>
      <c r="M94" s="17" t="str">
        <f ca="1">IFERROR(VLOOKUP(C94,'🚜 Araç Havuzu'!$A:$L,12,0),"")</f>
        <v/>
      </c>
      <c r="N94" s="48"/>
      <c r="O94" s="48"/>
      <c r="P94" s="48"/>
      <c r="Q94" s="10"/>
      <c r="R94" s="18"/>
    </row>
    <row r="95" spans="1:18" ht="18" customHeight="1" x14ac:dyDescent="0.3">
      <c r="A95" s="47"/>
      <c r="B95" s="5"/>
      <c r="C95" s="47"/>
      <c r="D95" s="11" t="str">
        <f ca="1">IFERROR(VLOOKUP(C95,'🚜 Araç Havuzu'!$A:$B,2,0),"")</f>
        <v/>
      </c>
      <c r="E95" s="6"/>
      <c r="F95" s="6"/>
      <c r="G95" s="6"/>
      <c r="H95" s="5"/>
      <c r="I95" s="47"/>
      <c r="J95" s="5"/>
      <c r="K95" s="47"/>
      <c r="L95" s="12"/>
      <c r="M95" s="13" t="str">
        <f ca="1">IFERROR(VLOOKUP(C95,'🚜 Araç Havuzu'!$A:$L,12,0),"")</f>
        <v/>
      </c>
      <c r="N95" s="47"/>
      <c r="O95" s="47"/>
      <c r="P95" s="47"/>
      <c r="Q95" s="6"/>
      <c r="R95" s="14"/>
    </row>
    <row r="96" spans="1:18" ht="18" customHeight="1" x14ac:dyDescent="0.3">
      <c r="A96" s="48"/>
      <c r="B96" s="9"/>
      <c r="C96" s="48"/>
      <c r="D96" s="15" t="str">
        <f ca="1">IFERROR(VLOOKUP(C96,'🚜 Araç Havuzu'!$A:$B,2,0),"")</f>
        <v/>
      </c>
      <c r="E96" s="10"/>
      <c r="F96" s="10"/>
      <c r="G96" s="10"/>
      <c r="H96" s="9"/>
      <c r="I96" s="48"/>
      <c r="J96" s="9"/>
      <c r="K96" s="48"/>
      <c r="L96" s="16"/>
      <c r="M96" s="17" t="str">
        <f ca="1">IFERROR(VLOOKUP(C96,'🚜 Araç Havuzu'!$A:$L,12,0),"")</f>
        <v/>
      </c>
      <c r="N96" s="48"/>
      <c r="O96" s="48"/>
      <c r="P96" s="48"/>
      <c r="Q96" s="10"/>
      <c r="R96" s="18"/>
    </row>
    <row r="97" spans="1:18" ht="18" customHeight="1" x14ac:dyDescent="0.3">
      <c r="A97" s="47"/>
      <c r="B97" s="5"/>
      <c r="C97" s="47"/>
      <c r="D97" s="11" t="str">
        <f ca="1">IFERROR(VLOOKUP(C97,'🚜 Araç Havuzu'!$A:$B,2,0),"")</f>
        <v/>
      </c>
      <c r="E97" s="6"/>
      <c r="F97" s="6"/>
      <c r="G97" s="6"/>
      <c r="H97" s="5"/>
      <c r="I97" s="47"/>
      <c r="J97" s="5"/>
      <c r="K97" s="47"/>
      <c r="L97" s="12"/>
      <c r="M97" s="13" t="str">
        <f ca="1">IFERROR(VLOOKUP(C97,'🚜 Araç Havuzu'!$A:$L,12,0),"")</f>
        <v/>
      </c>
      <c r="N97" s="47"/>
      <c r="O97" s="47"/>
      <c r="P97" s="47"/>
      <c r="Q97" s="6"/>
      <c r="R97" s="14"/>
    </row>
    <row r="98" spans="1:18" ht="18" customHeight="1" x14ac:dyDescent="0.3">
      <c r="A98" s="48"/>
      <c r="B98" s="9"/>
      <c r="C98" s="48"/>
      <c r="D98" s="15" t="str">
        <f ca="1">IFERROR(VLOOKUP(C98,'🚜 Araç Havuzu'!$A:$B,2,0),"")</f>
        <v/>
      </c>
      <c r="E98" s="10"/>
      <c r="F98" s="10"/>
      <c r="G98" s="10"/>
      <c r="H98" s="9"/>
      <c r="I98" s="48"/>
      <c r="J98" s="9"/>
      <c r="K98" s="48"/>
      <c r="L98" s="16"/>
      <c r="M98" s="17" t="str">
        <f ca="1">IFERROR(VLOOKUP(C98,'🚜 Araç Havuzu'!$A:$L,12,0),"")</f>
        <v/>
      </c>
      <c r="N98" s="48"/>
      <c r="O98" s="48"/>
      <c r="P98" s="48"/>
      <c r="Q98" s="10"/>
      <c r="R98" s="18"/>
    </row>
    <row r="99" spans="1:18" ht="18" customHeight="1" x14ac:dyDescent="0.3">
      <c r="A99" s="47"/>
      <c r="B99" s="5"/>
      <c r="C99" s="47"/>
      <c r="D99" s="11" t="str">
        <f ca="1">IFERROR(VLOOKUP(C99,'🚜 Araç Havuzu'!$A:$B,2,0),"")</f>
        <v/>
      </c>
      <c r="E99" s="6"/>
      <c r="F99" s="6"/>
      <c r="G99" s="6"/>
      <c r="H99" s="5"/>
      <c r="I99" s="47"/>
      <c r="J99" s="5"/>
      <c r="K99" s="47"/>
      <c r="L99" s="12"/>
      <c r="M99" s="13" t="str">
        <f ca="1">IFERROR(VLOOKUP(C99,'🚜 Araç Havuzu'!$A:$L,12,0),"")</f>
        <v/>
      </c>
      <c r="N99" s="47"/>
      <c r="O99" s="47"/>
      <c r="P99" s="47"/>
      <c r="Q99" s="6"/>
      <c r="R99" s="14"/>
    </row>
    <row r="100" spans="1:18" ht="18" customHeight="1" x14ac:dyDescent="0.3">
      <c r="A100" s="48"/>
      <c r="B100" s="9"/>
      <c r="C100" s="48"/>
      <c r="D100" s="15" t="str">
        <f ca="1">IFERROR(VLOOKUP(C100,'🚜 Araç Havuzu'!$A:$B,2,0),"")</f>
        <v/>
      </c>
      <c r="E100" s="10"/>
      <c r="F100" s="10"/>
      <c r="G100" s="10"/>
      <c r="H100" s="9"/>
      <c r="I100" s="48"/>
      <c r="J100" s="9"/>
      <c r="K100" s="48"/>
      <c r="L100" s="16"/>
      <c r="M100" s="17" t="str">
        <f ca="1">IFERROR(VLOOKUP(C100,'🚜 Araç Havuzu'!$A:$L,12,0),"")</f>
        <v/>
      </c>
      <c r="N100" s="48"/>
      <c r="O100" s="48"/>
      <c r="P100" s="48"/>
      <c r="Q100" s="10"/>
      <c r="R100" s="18"/>
    </row>
    <row r="101" spans="1:18" ht="18" customHeight="1" x14ac:dyDescent="0.3">
      <c r="A101" s="47"/>
      <c r="B101" s="5"/>
      <c r="C101" s="47"/>
      <c r="D101" s="11" t="str">
        <f ca="1">IFERROR(VLOOKUP(C101,'🚜 Araç Havuzu'!$A:$B,2,0),"")</f>
        <v/>
      </c>
      <c r="E101" s="6"/>
      <c r="F101" s="6"/>
      <c r="G101" s="6"/>
      <c r="H101" s="5"/>
      <c r="I101" s="47"/>
      <c r="J101" s="5"/>
      <c r="K101" s="47"/>
      <c r="L101" s="12"/>
      <c r="M101" s="13" t="str">
        <f ca="1">IFERROR(VLOOKUP(C101,'🚜 Araç Havuzu'!$A:$L,12,0),"")</f>
        <v/>
      </c>
      <c r="N101" s="47"/>
      <c r="O101" s="47"/>
      <c r="P101" s="47"/>
      <c r="Q101" s="6"/>
      <c r="R101" s="14"/>
    </row>
    <row r="102" spans="1:18" ht="18" customHeight="1" x14ac:dyDescent="0.3">
      <c r="A102" s="48"/>
      <c r="B102" s="9"/>
      <c r="C102" s="48"/>
      <c r="D102" s="15" t="str">
        <f ca="1">IFERROR(VLOOKUP(C102,'🚜 Araç Havuzu'!$A:$B,2,0),"")</f>
        <v/>
      </c>
      <c r="E102" s="10"/>
      <c r="F102" s="10"/>
      <c r="G102" s="10"/>
      <c r="H102" s="9"/>
      <c r="I102" s="48"/>
      <c r="J102" s="9"/>
      <c r="K102" s="48"/>
      <c r="L102" s="16"/>
      <c r="M102" s="17" t="str">
        <f ca="1">IFERROR(VLOOKUP(C102,'🚜 Araç Havuzu'!$A:$L,12,0),"")</f>
        <v/>
      </c>
      <c r="N102" s="48"/>
      <c r="O102" s="48"/>
      <c r="P102" s="48"/>
      <c r="Q102" s="10"/>
      <c r="R102" s="18"/>
    </row>
    <row r="103" spans="1:18" ht="18" customHeight="1" x14ac:dyDescent="0.3">
      <c r="A103" s="47"/>
      <c r="B103" s="5"/>
      <c r="C103" s="47"/>
      <c r="D103" s="11" t="str">
        <f ca="1">IFERROR(VLOOKUP(C103,'🚜 Araç Havuzu'!$A:$B,2,0),"")</f>
        <v/>
      </c>
      <c r="E103" s="6"/>
      <c r="F103" s="6"/>
      <c r="G103" s="6"/>
      <c r="H103" s="5"/>
      <c r="I103" s="47"/>
      <c r="J103" s="5"/>
      <c r="K103" s="47"/>
      <c r="L103" s="12"/>
      <c r="M103" s="13" t="str">
        <f ca="1">IFERROR(VLOOKUP(C103,'🚜 Araç Havuzu'!$A:$L,12,0),"")</f>
        <v/>
      </c>
      <c r="N103" s="47"/>
      <c r="O103" s="47"/>
      <c r="P103" s="47"/>
      <c r="Q103" s="6"/>
      <c r="R103" s="14"/>
    </row>
    <row r="104" spans="1:18" ht="18" customHeight="1" x14ac:dyDescent="0.3">
      <c r="A104" s="48"/>
      <c r="B104" s="9"/>
      <c r="C104" s="48"/>
      <c r="D104" s="15" t="str">
        <f ca="1">IFERROR(VLOOKUP(C104,'🚜 Araç Havuzu'!$A:$B,2,0),"")</f>
        <v/>
      </c>
      <c r="E104" s="10"/>
      <c r="F104" s="10"/>
      <c r="G104" s="10"/>
      <c r="H104" s="9"/>
      <c r="I104" s="48"/>
      <c r="J104" s="9"/>
      <c r="K104" s="48"/>
      <c r="L104" s="16"/>
      <c r="M104" s="17" t="str">
        <f ca="1">IFERROR(VLOOKUP(C104,'🚜 Araç Havuzu'!$A:$L,12,0),"")</f>
        <v/>
      </c>
      <c r="N104" s="48"/>
      <c r="O104" s="48"/>
      <c r="P104" s="48"/>
      <c r="Q104" s="10"/>
      <c r="R104" s="18"/>
    </row>
  </sheetData>
  <mergeCells count="4">
    <mergeCell ref="A1:R1"/>
    <mergeCell ref="A2:R2"/>
    <mergeCell ref="A3:D3"/>
    <mergeCell ref="E3:R3"/>
  </mergeCells>
  <conditionalFormatting sqref="P5:P500">
    <cfRule type="expression" dxfId="7" priority="2">
      <formula>P5="✅ Tamamlandı"</formula>
    </cfRule>
    <cfRule type="expression" dxfId="6" priority="3">
      <formula>P5="🔄 Devam Ediyor"</formula>
    </cfRule>
    <cfRule type="expression" dxfId="5" priority="4">
      <formula>P5="⏳ Planlandı"</formula>
    </cfRule>
    <cfRule type="expression" dxfId="4" priority="5">
      <formula>P5="❌ İptal Edildi"</formula>
    </cfRule>
  </conditionalFormatting>
  <dataValidations count="2">
    <dataValidation type="list" allowBlank="1" sqref="E5:E500">
      <formula1>"Fen İşleri Müdürlüğü,Su ve Kanalizasyon Müdürlüğü,Temizlik İşleri Müdürlüğü,Park ve Bahçeler Müdürlüğü,Zabıta Müdürlüğü,Yazı İşleri Müdürlüğü,Kültür ve Sosyal İşler Müdürlüğü,Diğer"</formula1>
      <formula2>0</formula2>
    </dataValidation>
    <dataValidation type="list" allowBlank="1" sqref="P5:P500">
      <formula1>"✅ Tamamlandı,🔄 Devam Ediyor,⏳ Planlandı,❌ İptal Edildi"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="Araç Havuzu'ndan seçin">
          <x14:formula1>
            <xm:f>'🚜 Araç Havuzu'!$A$5:$A$500</xm:f>
          </x14:formula1>
          <x14:formula2>
            <xm:f>0</xm:f>
          </x14:formula2>
          <xm:sqref>C5:C500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32"/>
  </sheetPr>
  <dimension ref="A1:M104"/>
  <sheetViews>
    <sheetView showGridLines="0" zoomScaleNormal="100" workbookViewId="0">
      <pane ySplit="4" topLeftCell="A32" activePane="bottomLeft" state="frozen"/>
      <selection pane="bottomLeft" activeCell="C35" sqref="C35"/>
    </sheetView>
  </sheetViews>
  <sheetFormatPr defaultColWidth="8.6640625" defaultRowHeight="14.4" x14ac:dyDescent="0.3"/>
  <cols>
    <col min="1" max="1" width="13" style="1" customWidth="1"/>
    <col min="2" max="2" width="15" style="1" customWidth="1"/>
    <col min="3" max="3" width="18" style="1" customWidth="1"/>
    <col min="4" max="4" width="20" style="1" customWidth="1"/>
    <col min="5" max="5" width="10" style="1" customWidth="1"/>
    <col min="6" max="6" width="22" style="1" customWidth="1"/>
    <col min="7" max="7" width="11" style="1" customWidth="1"/>
    <col min="8" max="8" width="12" style="1" customWidth="1"/>
    <col min="9" max="9" width="11" style="1" customWidth="1"/>
    <col min="10" max="11" width="14" style="1" customWidth="1"/>
    <col min="12" max="12" width="11" style="1" customWidth="1"/>
    <col min="13" max="13" width="22" style="1" customWidth="1"/>
  </cols>
  <sheetData>
    <row r="1" spans="1:13" ht="85.2" customHeight="1" x14ac:dyDescent="0.3">
      <c r="A1" s="57" t="s">
        <v>38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</row>
    <row r="2" spans="1:13" ht="18" customHeight="1" x14ac:dyDescent="0.3">
      <c r="A2" s="55" t="s">
        <v>39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</row>
    <row r="3" spans="1:13" ht="15.75" customHeight="1" x14ac:dyDescent="0.3">
      <c r="A3" s="56">
        <f ca="1">TODAY()</f>
        <v>46216</v>
      </c>
      <c r="B3" s="56"/>
      <c r="C3" s="56"/>
      <c r="D3" s="56"/>
    </row>
    <row r="4" spans="1:13" ht="31.5" customHeight="1" x14ac:dyDescent="0.3">
      <c r="A4" s="2" t="s">
        <v>40</v>
      </c>
      <c r="B4" s="2" t="s">
        <v>41</v>
      </c>
      <c r="C4" s="2" t="s">
        <v>23</v>
      </c>
      <c r="D4" s="2" t="s">
        <v>42</v>
      </c>
      <c r="E4" s="2" t="s">
        <v>28</v>
      </c>
      <c r="F4" s="2" t="s">
        <v>43</v>
      </c>
      <c r="G4" s="2" t="s">
        <v>21</v>
      </c>
      <c r="H4" s="2" t="s">
        <v>44</v>
      </c>
      <c r="I4" s="2" t="s">
        <v>45</v>
      </c>
      <c r="J4" s="2" t="s">
        <v>46</v>
      </c>
      <c r="K4" s="2" t="s">
        <v>47</v>
      </c>
      <c r="L4" s="2" t="s">
        <v>48</v>
      </c>
      <c r="M4" s="2" t="s">
        <v>17</v>
      </c>
    </row>
    <row r="5" spans="1:13" ht="18" customHeight="1" x14ac:dyDescent="0.3">
      <c r="A5" s="5"/>
      <c r="B5" s="3"/>
      <c r="C5" s="11" t="str">
        <f ca="1">IFERROR(VLOOKUP(B5,'🚜 Araç Havuzu'!$A:$B,2,0),"")</f>
        <v/>
      </c>
      <c r="D5" s="11" t="str">
        <f ca="1">IFERROR(VLOOKUP(B5,'🚜 Araç Havuzu'!$A:$L,12,0),"")</f>
        <v/>
      </c>
      <c r="E5" s="47"/>
      <c r="F5" s="4"/>
      <c r="G5" s="47"/>
      <c r="H5" s="47"/>
      <c r="I5" s="12" t="str">
        <f t="shared" ref="I5:I36" si="0">IFERROR(IF(AND(E5&lt;&gt;"",H5&lt;&gt;""),MOD(TIMEVALUE(H5)-TIMEVALUE(E5),1)*24,""),"")</f>
        <v/>
      </c>
      <c r="J5" s="19"/>
      <c r="K5" s="19"/>
      <c r="L5" s="20" t="str">
        <f t="shared" ref="L5:L36" si="1">IF(AND(J5&lt;&gt;"",K5&lt;&gt;""),K5-J5,"")</f>
        <v/>
      </c>
      <c r="M5" s="6"/>
    </row>
    <row r="6" spans="1:13" ht="18" customHeight="1" x14ac:dyDescent="0.3">
      <c r="A6" s="9"/>
      <c r="B6" s="7"/>
      <c r="C6" s="15" t="str">
        <f ca="1">IFERROR(VLOOKUP(B6,'🚜 Araç Havuzu'!$A:$B,2,0),"")</f>
        <v/>
      </c>
      <c r="D6" s="15" t="str">
        <f ca="1">IFERROR(VLOOKUP(B6,'🚜 Araç Havuzu'!$A:$L,12,0),"")</f>
        <v/>
      </c>
      <c r="E6" s="48"/>
      <c r="F6" s="8"/>
      <c r="G6" s="48"/>
      <c r="H6" s="48"/>
      <c r="I6" s="16" t="str">
        <f t="shared" si="0"/>
        <v/>
      </c>
      <c r="J6" s="21"/>
      <c r="K6" s="21"/>
      <c r="L6" s="22" t="str">
        <f t="shared" si="1"/>
        <v/>
      </c>
      <c r="M6" s="10"/>
    </row>
    <row r="7" spans="1:13" ht="18" customHeight="1" x14ac:dyDescent="0.3">
      <c r="A7" s="5"/>
      <c r="B7" s="3"/>
      <c r="C7" s="11" t="str">
        <f ca="1">IFERROR(VLOOKUP(B7,'🚜 Araç Havuzu'!$A:$B,2,0),"")</f>
        <v/>
      </c>
      <c r="D7" s="11" t="str">
        <f ca="1">IFERROR(VLOOKUP(B7,'🚜 Araç Havuzu'!$A:$L,12,0),"")</f>
        <v/>
      </c>
      <c r="E7" s="47"/>
      <c r="F7" s="4"/>
      <c r="G7" s="47"/>
      <c r="H7" s="47"/>
      <c r="I7" s="12" t="str">
        <f t="shared" si="0"/>
        <v/>
      </c>
      <c r="J7" s="19"/>
      <c r="K7" s="19"/>
      <c r="L7" s="20" t="str">
        <f t="shared" si="1"/>
        <v/>
      </c>
      <c r="M7" s="6"/>
    </row>
    <row r="8" spans="1:13" ht="18" customHeight="1" x14ac:dyDescent="0.3">
      <c r="A8" s="9"/>
      <c r="B8" s="7"/>
      <c r="C8" s="15" t="str">
        <f ca="1">IFERROR(VLOOKUP(B8,'🚜 Araç Havuzu'!$A:$B,2,0),"")</f>
        <v/>
      </c>
      <c r="D8" s="15" t="str">
        <f ca="1">IFERROR(VLOOKUP(B8,'🚜 Araç Havuzu'!$A:$L,12,0),"")</f>
        <v/>
      </c>
      <c r="E8" s="48"/>
      <c r="F8" s="8"/>
      <c r="G8" s="48"/>
      <c r="H8" s="48"/>
      <c r="I8" s="16" t="str">
        <f t="shared" si="0"/>
        <v/>
      </c>
      <c r="J8" s="21"/>
      <c r="K8" s="21"/>
      <c r="L8" s="22" t="str">
        <f t="shared" si="1"/>
        <v/>
      </c>
      <c r="M8" s="10"/>
    </row>
    <row r="9" spans="1:13" ht="18" customHeight="1" x14ac:dyDescent="0.3">
      <c r="A9" s="5"/>
      <c r="B9" s="3"/>
      <c r="C9" s="11" t="str">
        <f ca="1">IFERROR(VLOOKUP(B9,'🚜 Araç Havuzu'!$A:$B,2,0),"")</f>
        <v/>
      </c>
      <c r="D9" s="11" t="str">
        <f ca="1">IFERROR(VLOOKUP(B9,'🚜 Araç Havuzu'!$A:$L,12,0),"")</f>
        <v/>
      </c>
      <c r="E9" s="47"/>
      <c r="F9" s="4"/>
      <c r="G9" s="47"/>
      <c r="H9" s="47"/>
      <c r="I9" s="12" t="str">
        <f t="shared" si="0"/>
        <v/>
      </c>
      <c r="J9" s="19"/>
      <c r="K9" s="19"/>
      <c r="L9" s="20" t="str">
        <f t="shared" si="1"/>
        <v/>
      </c>
      <c r="M9" s="6"/>
    </row>
    <row r="10" spans="1:13" ht="18" customHeight="1" x14ac:dyDescent="0.3">
      <c r="A10" s="9"/>
      <c r="B10" s="7"/>
      <c r="C10" s="15" t="str">
        <f ca="1">IFERROR(VLOOKUP(B10,'🚜 Araç Havuzu'!$A:$B,2,0),"")</f>
        <v/>
      </c>
      <c r="D10" s="15" t="str">
        <f ca="1">IFERROR(VLOOKUP(B10,'🚜 Araç Havuzu'!$A:$L,12,0),"")</f>
        <v/>
      </c>
      <c r="E10" s="48"/>
      <c r="F10" s="8"/>
      <c r="G10" s="48"/>
      <c r="H10" s="48"/>
      <c r="I10" s="16" t="str">
        <f t="shared" si="0"/>
        <v/>
      </c>
      <c r="J10" s="21"/>
      <c r="K10" s="21"/>
      <c r="L10" s="22" t="str">
        <f t="shared" si="1"/>
        <v/>
      </c>
      <c r="M10" s="10"/>
    </row>
    <row r="11" spans="1:13" ht="18" customHeight="1" x14ac:dyDescent="0.3">
      <c r="A11" s="5"/>
      <c r="B11" s="3"/>
      <c r="C11" s="11" t="str">
        <f ca="1">IFERROR(VLOOKUP(B11,'🚜 Araç Havuzu'!$A:$B,2,0),"")</f>
        <v/>
      </c>
      <c r="D11" s="11" t="str">
        <f ca="1">IFERROR(VLOOKUP(B11,'🚜 Araç Havuzu'!$A:$L,12,0),"")</f>
        <v/>
      </c>
      <c r="E11" s="47"/>
      <c r="F11" s="4"/>
      <c r="G11" s="47"/>
      <c r="H11" s="47"/>
      <c r="I11" s="12" t="str">
        <f t="shared" si="0"/>
        <v/>
      </c>
      <c r="J11" s="19"/>
      <c r="K11" s="19"/>
      <c r="L11" s="20" t="str">
        <f t="shared" si="1"/>
        <v/>
      </c>
      <c r="M11" s="6"/>
    </row>
    <row r="12" spans="1:13" ht="18" customHeight="1" x14ac:dyDescent="0.3">
      <c r="A12" s="9"/>
      <c r="B12" s="7"/>
      <c r="C12" s="15" t="str">
        <f ca="1">IFERROR(VLOOKUP(B12,'🚜 Araç Havuzu'!$A:$B,2,0),"")</f>
        <v/>
      </c>
      <c r="D12" s="15" t="str">
        <f ca="1">IFERROR(VLOOKUP(B12,'🚜 Araç Havuzu'!$A:$L,12,0),"")</f>
        <v/>
      </c>
      <c r="E12" s="48"/>
      <c r="F12" s="8"/>
      <c r="G12" s="48"/>
      <c r="H12" s="48"/>
      <c r="I12" s="16" t="str">
        <f t="shared" si="0"/>
        <v/>
      </c>
      <c r="J12" s="21"/>
      <c r="K12" s="21"/>
      <c r="L12" s="22" t="str">
        <f t="shared" si="1"/>
        <v/>
      </c>
      <c r="M12" s="10"/>
    </row>
    <row r="13" spans="1:13" ht="18" customHeight="1" x14ac:dyDescent="0.3">
      <c r="A13" s="5"/>
      <c r="B13" s="3"/>
      <c r="C13" s="11" t="str">
        <f ca="1">IFERROR(VLOOKUP(B13,'🚜 Araç Havuzu'!$A:$B,2,0),"")</f>
        <v/>
      </c>
      <c r="D13" s="11" t="str">
        <f ca="1">IFERROR(VLOOKUP(B13,'🚜 Araç Havuzu'!$A:$L,12,0),"")</f>
        <v/>
      </c>
      <c r="E13" s="47"/>
      <c r="F13" s="4"/>
      <c r="G13" s="47"/>
      <c r="H13" s="47"/>
      <c r="I13" s="12" t="str">
        <f t="shared" si="0"/>
        <v/>
      </c>
      <c r="J13" s="19"/>
      <c r="K13" s="19"/>
      <c r="L13" s="20" t="str">
        <f t="shared" si="1"/>
        <v/>
      </c>
      <c r="M13" s="6"/>
    </row>
    <row r="14" spans="1:13" ht="18" customHeight="1" x14ac:dyDescent="0.3">
      <c r="A14" s="9"/>
      <c r="B14" s="7"/>
      <c r="C14" s="15" t="str">
        <f ca="1">IFERROR(VLOOKUP(B14,'🚜 Araç Havuzu'!$A:$B,2,0),"")</f>
        <v/>
      </c>
      <c r="D14" s="15" t="str">
        <f ca="1">IFERROR(VLOOKUP(B14,'🚜 Araç Havuzu'!$A:$L,12,0),"")</f>
        <v/>
      </c>
      <c r="E14" s="48"/>
      <c r="F14" s="8"/>
      <c r="G14" s="48"/>
      <c r="H14" s="48"/>
      <c r="I14" s="16" t="str">
        <f t="shared" si="0"/>
        <v/>
      </c>
      <c r="J14" s="21"/>
      <c r="K14" s="21"/>
      <c r="L14" s="22" t="str">
        <f t="shared" si="1"/>
        <v/>
      </c>
      <c r="M14" s="10"/>
    </row>
    <row r="15" spans="1:13" ht="18" customHeight="1" x14ac:dyDescent="0.3">
      <c r="A15" s="5"/>
      <c r="B15" s="3"/>
      <c r="C15" s="11" t="str">
        <f ca="1">IFERROR(VLOOKUP(B15,'🚜 Araç Havuzu'!$A:$B,2,0),"")</f>
        <v/>
      </c>
      <c r="D15" s="11" t="str">
        <f ca="1">IFERROR(VLOOKUP(B15,'🚜 Araç Havuzu'!$A:$L,12,0),"")</f>
        <v/>
      </c>
      <c r="E15" s="47"/>
      <c r="F15" s="4"/>
      <c r="G15" s="47"/>
      <c r="H15" s="47"/>
      <c r="I15" s="12" t="str">
        <f t="shared" si="0"/>
        <v/>
      </c>
      <c r="J15" s="19"/>
      <c r="K15" s="19"/>
      <c r="L15" s="20" t="str">
        <f t="shared" si="1"/>
        <v/>
      </c>
      <c r="M15" s="6"/>
    </row>
    <row r="16" spans="1:13" ht="18" customHeight="1" x14ac:dyDescent="0.3">
      <c r="A16" s="9"/>
      <c r="B16" s="7"/>
      <c r="C16" s="15" t="str">
        <f ca="1">IFERROR(VLOOKUP(B16,'🚜 Araç Havuzu'!$A:$B,2,0),"")</f>
        <v/>
      </c>
      <c r="D16" s="15" t="str">
        <f ca="1">IFERROR(VLOOKUP(B16,'🚜 Araç Havuzu'!$A:$L,12,0),"")</f>
        <v/>
      </c>
      <c r="E16" s="48"/>
      <c r="F16" s="8"/>
      <c r="G16" s="48"/>
      <c r="H16" s="48"/>
      <c r="I16" s="16" t="str">
        <f t="shared" si="0"/>
        <v/>
      </c>
      <c r="J16" s="21"/>
      <c r="K16" s="21"/>
      <c r="L16" s="22" t="str">
        <f t="shared" si="1"/>
        <v/>
      </c>
      <c r="M16" s="10"/>
    </row>
    <row r="17" spans="1:13" ht="18" customHeight="1" x14ac:dyDescent="0.3">
      <c r="A17" s="5"/>
      <c r="B17" s="3"/>
      <c r="C17" s="11" t="str">
        <f ca="1">IFERROR(VLOOKUP(B17,'🚜 Araç Havuzu'!$A:$B,2,0),"")</f>
        <v/>
      </c>
      <c r="D17" s="11" t="str">
        <f ca="1">IFERROR(VLOOKUP(B17,'🚜 Araç Havuzu'!$A:$L,12,0),"")</f>
        <v/>
      </c>
      <c r="E17" s="47"/>
      <c r="F17" s="4"/>
      <c r="G17" s="47"/>
      <c r="H17" s="47"/>
      <c r="I17" s="12" t="str">
        <f t="shared" si="0"/>
        <v/>
      </c>
      <c r="J17" s="19"/>
      <c r="K17" s="19"/>
      <c r="L17" s="20" t="str">
        <f t="shared" si="1"/>
        <v/>
      </c>
      <c r="M17" s="6"/>
    </row>
    <row r="18" spans="1:13" ht="18" customHeight="1" x14ac:dyDescent="0.3">
      <c r="A18" s="9"/>
      <c r="B18" s="7"/>
      <c r="C18" s="15" t="str">
        <f ca="1">IFERROR(VLOOKUP(B18,'🚜 Araç Havuzu'!$A:$B,2,0),"")</f>
        <v/>
      </c>
      <c r="D18" s="15" t="str">
        <f ca="1">IFERROR(VLOOKUP(B18,'🚜 Araç Havuzu'!$A:$L,12,0),"")</f>
        <v/>
      </c>
      <c r="E18" s="48"/>
      <c r="F18" s="8"/>
      <c r="G18" s="48"/>
      <c r="H18" s="48"/>
      <c r="I18" s="16" t="str">
        <f t="shared" si="0"/>
        <v/>
      </c>
      <c r="J18" s="21"/>
      <c r="K18" s="21"/>
      <c r="L18" s="22" t="str">
        <f t="shared" si="1"/>
        <v/>
      </c>
      <c r="M18" s="10"/>
    </row>
    <row r="19" spans="1:13" ht="18" customHeight="1" x14ac:dyDescent="0.3">
      <c r="A19" s="5"/>
      <c r="B19" s="3"/>
      <c r="C19" s="11" t="str">
        <f ca="1">IFERROR(VLOOKUP(B19,'🚜 Araç Havuzu'!$A:$B,2,0),"")</f>
        <v/>
      </c>
      <c r="D19" s="11" t="str">
        <f ca="1">IFERROR(VLOOKUP(B19,'🚜 Araç Havuzu'!$A:$L,12,0),"")</f>
        <v/>
      </c>
      <c r="E19" s="47"/>
      <c r="F19" s="4"/>
      <c r="G19" s="47"/>
      <c r="H19" s="47"/>
      <c r="I19" s="12" t="str">
        <f t="shared" si="0"/>
        <v/>
      </c>
      <c r="J19" s="19"/>
      <c r="K19" s="19"/>
      <c r="L19" s="20" t="str">
        <f t="shared" si="1"/>
        <v/>
      </c>
      <c r="M19" s="6"/>
    </row>
    <row r="20" spans="1:13" ht="18" customHeight="1" x14ac:dyDescent="0.3">
      <c r="A20" s="9"/>
      <c r="B20" s="7"/>
      <c r="C20" s="15" t="str">
        <f ca="1">IFERROR(VLOOKUP(B20,'🚜 Araç Havuzu'!$A:$B,2,0),"")</f>
        <v/>
      </c>
      <c r="D20" s="15" t="str">
        <f ca="1">IFERROR(VLOOKUP(B20,'🚜 Araç Havuzu'!$A:$L,12,0),"")</f>
        <v/>
      </c>
      <c r="E20" s="48"/>
      <c r="F20" s="8"/>
      <c r="G20" s="48"/>
      <c r="H20" s="48"/>
      <c r="I20" s="16" t="str">
        <f t="shared" si="0"/>
        <v/>
      </c>
      <c r="J20" s="21"/>
      <c r="K20" s="21"/>
      <c r="L20" s="22" t="str">
        <f t="shared" si="1"/>
        <v/>
      </c>
      <c r="M20" s="10"/>
    </row>
    <row r="21" spans="1:13" ht="18" customHeight="1" x14ac:dyDescent="0.3">
      <c r="A21" s="5"/>
      <c r="B21" s="3"/>
      <c r="C21" s="11" t="str">
        <f ca="1">IFERROR(VLOOKUP(B21,'🚜 Araç Havuzu'!$A:$B,2,0),"")</f>
        <v/>
      </c>
      <c r="D21" s="11" t="str">
        <f ca="1">IFERROR(VLOOKUP(B21,'🚜 Araç Havuzu'!$A:$L,12,0),"")</f>
        <v/>
      </c>
      <c r="E21" s="47"/>
      <c r="F21" s="4"/>
      <c r="G21" s="47"/>
      <c r="H21" s="47"/>
      <c r="I21" s="12" t="str">
        <f t="shared" si="0"/>
        <v/>
      </c>
      <c r="J21" s="19"/>
      <c r="K21" s="19"/>
      <c r="L21" s="20" t="str">
        <f t="shared" si="1"/>
        <v/>
      </c>
      <c r="M21" s="6"/>
    </row>
    <row r="22" spans="1:13" ht="18" customHeight="1" x14ac:dyDescent="0.3">
      <c r="A22" s="9"/>
      <c r="B22" s="7"/>
      <c r="C22" s="15" t="str">
        <f ca="1">IFERROR(VLOOKUP(B22,'🚜 Araç Havuzu'!$A:$B,2,0),"")</f>
        <v/>
      </c>
      <c r="D22" s="15" t="str">
        <f ca="1">IFERROR(VLOOKUP(B22,'🚜 Araç Havuzu'!$A:$L,12,0),"")</f>
        <v/>
      </c>
      <c r="E22" s="48"/>
      <c r="F22" s="8"/>
      <c r="G22" s="48"/>
      <c r="H22" s="48"/>
      <c r="I22" s="16" t="str">
        <f t="shared" si="0"/>
        <v/>
      </c>
      <c r="J22" s="21"/>
      <c r="K22" s="21"/>
      <c r="L22" s="22" t="str">
        <f t="shared" si="1"/>
        <v/>
      </c>
      <c r="M22" s="10"/>
    </row>
    <row r="23" spans="1:13" ht="18" customHeight="1" x14ac:dyDescent="0.3">
      <c r="A23" s="5"/>
      <c r="B23" s="3"/>
      <c r="C23" s="11" t="str">
        <f ca="1">IFERROR(VLOOKUP(B23,'🚜 Araç Havuzu'!$A:$B,2,0),"")</f>
        <v/>
      </c>
      <c r="D23" s="11" t="str">
        <f ca="1">IFERROR(VLOOKUP(B23,'🚜 Araç Havuzu'!$A:$L,12,0),"")</f>
        <v/>
      </c>
      <c r="E23" s="47"/>
      <c r="F23" s="4"/>
      <c r="G23" s="47"/>
      <c r="H23" s="47"/>
      <c r="I23" s="12" t="str">
        <f t="shared" si="0"/>
        <v/>
      </c>
      <c r="J23" s="19"/>
      <c r="K23" s="19"/>
      <c r="L23" s="20" t="str">
        <f t="shared" si="1"/>
        <v/>
      </c>
      <c r="M23" s="6"/>
    </row>
    <row r="24" spans="1:13" ht="18" customHeight="1" x14ac:dyDescent="0.3">
      <c r="A24" s="9"/>
      <c r="B24" s="7"/>
      <c r="C24" s="15" t="str">
        <f ca="1">IFERROR(VLOOKUP(B24,'🚜 Araç Havuzu'!$A:$B,2,0),"")</f>
        <v/>
      </c>
      <c r="D24" s="15" t="str">
        <f ca="1">IFERROR(VLOOKUP(B24,'🚜 Araç Havuzu'!$A:$L,12,0),"")</f>
        <v/>
      </c>
      <c r="E24" s="48"/>
      <c r="F24" s="8"/>
      <c r="G24" s="48"/>
      <c r="H24" s="48"/>
      <c r="I24" s="16" t="str">
        <f t="shared" si="0"/>
        <v/>
      </c>
      <c r="J24" s="21"/>
      <c r="K24" s="21"/>
      <c r="L24" s="22" t="str">
        <f t="shared" si="1"/>
        <v/>
      </c>
      <c r="M24" s="10"/>
    </row>
    <row r="25" spans="1:13" ht="18" customHeight="1" x14ac:dyDescent="0.3">
      <c r="A25" s="5"/>
      <c r="B25" s="3"/>
      <c r="C25" s="11" t="str">
        <f ca="1">IFERROR(VLOOKUP(B25,'🚜 Araç Havuzu'!$A:$B,2,0),"")</f>
        <v/>
      </c>
      <c r="D25" s="11" t="str">
        <f ca="1">IFERROR(VLOOKUP(B25,'🚜 Araç Havuzu'!$A:$L,12,0),"")</f>
        <v/>
      </c>
      <c r="E25" s="47"/>
      <c r="F25" s="4"/>
      <c r="G25" s="47"/>
      <c r="H25" s="47"/>
      <c r="I25" s="12" t="str">
        <f t="shared" si="0"/>
        <v/>
      </c>
      <c r="J25" s="19"/>
      <c r="K25" s="19"/>
      <c r="L25" s="20" t="str">
        <f t="shared" si="1"/>
        <v/>
      </c>
      <c r="M25" s="6"/>
    </row>
    <row r="26" spans="1:13" ht="18" customHeight="1" x14ac:dyDescent="0.3">
      <c r="A26" s="9"/>
      <c r="B26" s="7"/>
      <c r="C26" s="15" t="str">
        <f ca="1">IFERROR(VLOOKUP(B26,'🚜 Araç Havuzu'!$A:$B,2,0),"")</f>
        <v/>
      </c>
      <c r="D26" s="15" t="str">
        <f ca="1">IFERROR(VLOOKUP(B26,'🚜 Araç Havuzu'!$A:$L,12,0),"")</f>
        <v/>
      </c>
      <c r="E26" s="48"/>
      <c r="F26" s="8"/>
      <c r="G26" s="48"/>
      <c r="H26" s="48"/>
      <c r="I26" s="16" t="str">
        <f t="shared" si="0"/>
        <v/>
      </c>
      <c r="J26" s="21"/>
      <c r="K26" s="21"/>
      <c r="L26" s="22" t="str">
        <f t="shared" si="1"/>
        <v/>
      </c>
      <c r="M26" s="10"/>
    </row>
    <row r="27" spans="1:13" ht="18" customHeight="1" x14ac:dyDescent="0.3">
      <c r="A27" s="5"/>
      <c r="B27" s="3"/>
      <c r="C27" s="11" t="str">
        <f ca="1">IFERROR(VLOOKUP(B27,'🚜 Araç Havuzu'!$A:$B,2,0),"")</f>
        <v/>
      </c>
      <c r="D27" s="11" t="str">
        <f ca="1">IFERROR(VLOOKUP(B27,'🚜 Araç Havuzu'!$A:$L,12,0),"")</f>
        <v/>
      </c>
      <c r="E27" s="47"/>
      <c r="F27" s="4"/>
      <c r="G27" s="47"/>
      <c r="H27" s="47"/>
      <c r="I27" s="12" t="str">
        <f t="shared" si="0"/>
        <v/>
      </c>
      <c r="J27" s="19"/>
      <c r="K27" s="19"/>
      <c r="L27" s="20" t="str">
        <f t="shared" si="1"/>
        <v/>
      </c>
      <c r="M27" s="6"/>
    </row>
    <row r="28" spans="1:13" ht="18" customHeight="1" x14ac:dyDescent="0.3">
      <c r="A28" s="9"/>
      <c r="B28" s="7"/>
      <c r="C28" s="15" t="str">
        <f ca="1">IFERROR(VLOOKUP(B28,'🚜 Araç Havuzu'!$A:$B,2,0),"")</f>
        <v/>
      </c>
      <c r="D28" s="15" t="str">
        <f ca="1">IFERROR(VLOOKUP(B28,'🚜 Araç Havuzu'!$A:$L,12,0),"")</f>
        <v/>
      </c>
      <c r="E28" s="48"/>
      <c r="F28" s="8"/>
      <c r="G28" s="48"/>
      <c r="H28" s="48"/>
      <c r="I28" s="16" t="str">
        <f t="shared" si="0"/>
        <v/>
      </c>
      <c r="J28" s="21"/>
      <c r="K28" s="21"/>
      <c r="L28" s="22" t="str">
        <f t="shared" si="1"/>
        <v/>
      </c>
      <c r="M28" s="10"/>
    </row>
    <row r="29" spans="1:13" ht="18" customHeight="1" x14ac:dyDescent="0.3">
      <c r="A29" s="5"/>
      <c r="B29" s="3"/>
      <c r="C29" s="11" t="str">
        <f ca="1">IFERROR(VLOOKUP(B29,'🚜 Araç Havuzu'!$A:$B,2,0),"")</f>
        <v/>
      </c>
      <c r="D29" s="11" t="str">
        <f ca="1">IFERROR(VLOOKUP(B29,'🚜 Araç Havuzu'!$A:$L,12,0),"")</f>
        <v/>
      </c>
      <c r="E29" s="47"/>
      <c r="F29" s="4"/>
      <c r="G29" s="47"/>
      <c r="H29" s="47"/>
      <c r="I29" s="12" t="str">
        <f t="shared" si="0"/>
        <v/>
      </c>
      <c r="J29" s="19"/>
      <c r="K29" s="19"/>
      <c r="L29" s="20" t="str">
        <f t="shared" si="1"/>
        <v/>
      </c>
      <c r="M29" s="6"/>
    </row>
    <row r="30" spans="1:13" ht="18" customHeight="1" x14ac:dyDescent="0.3">
      <c r="A30" s="9"/>
      <c r="B30" s="7"/>
      <c r="C30" s="15" t="str">
        <f ca="1">IFERROR(VLOOKUP(B30,'🚜 Araç Havuzu'!$A:$B,2,0),"")</f>
        <v/>
      </c>
      <c r="D30" s="15" t="str">
        <f ca="1">IFERROR(VLOOKUP(B30,'🚜 Araç Havuzu'!$A:$L,12,0),"")</f>
        <v/>
      </c>
      <c r="E30" s="48"/>
      <c r="F30" s="8"/>
      <c r="G30" s="48"/>
      <c r="H30" s="48"/>
      <c r="I30" s="16" t="str">
        <f t="shared" si="0"/>
        <v/>
      </c>
      <c r="J30" s="21"/>
      <c r="K30" s="21"/>
      <c r="L30" s="22" t="str">
        <f t="shared" si="1"/>
        <v/>
      </c>
      <c r="M30" s="10"/>
    </row>
    <row r="31" spans="1:13" ht="18" customHeight="1" x14ac:dyDescent="0.3">
      <c r="A31" s="5"/>
      <c r="B31" s="3"/>
      <c r="C31" s="11" t="str">
        <f ca="1">IFERROR(VLOOKUP(B31,'🚜 Araç Havuzu'!$A:$B,2,0),"")</f>
        <v/>
      </c>
      <c r="D31" s="11" t="str">
        <f ca="1">IFERROR(VLOOKUP(B31,'🚜 Araç Havuzu'!$A:$L,12,0),"")</f>
        <v/>
      </c>
      <c r="E31" s="47"/>
      <c r="F31" s="4"/>
      <c r="G31" s="47"/>
      <c r="H31" s="47"/>
      <c r="I31" s="12" t="str">
        <f t="shared" si="0"/>
        <v/>
      </c>
      <c r="J31" s="19"/>
      <c r="K31" s="19"/>
      <c r="L31" s="20" t="str">
        <f t="shared" si="1"/>
        <v/>
      </c>
      <c r="M31" s="6"/>
    </row>
    <row r="32" spans="1:13" ht="18" customHeight="1" x14ac:dyDescent="0.3">
      <c r="A32" s="9"/>
      <c r="B32" s="7"/>
      <c r="C32" s="15" t="str">
        <f ca="1">IFERROR(VLOOKUP(B32,'🚜 Araç Havuzu'!$A:$B,2,0),"")</f>
        <v/>
      </c>
      <c r="D32" s="15" t="str">
        <f ca="1">IFERROR(VLOOKUP(B32,'🚜 Araç Havuzu'!$A:$L,12,0),"")</f>
        <v/>
      </c>
      <c r="E32" s="48"/>
      <c r="F32" s="8"/>
      <c r="G32" s="48"/>
      <c r="H32" s="48"/>
      <c r="I32" s="16" t="str">
        <f t="shared" si="0"/>
        <v/>
      </c>
      <c r="J32" s="21"/>
      <c r="K32" s="21"/>
      <c r="L32" s="22" t="str">
        <f t="shared" si="1"/>
        <v/>
      </c>
      <c r="M32" s="10"/>
    </row>
    <row r="33" spans="1:13" ht="18" customHeight="1" x14ac:dyDescent="0.3">
      <c r="A33" s="5"/>
      <c r="B33" s="3"/>
      <c r="C33" s="11" t="str">
        <f ca="1">IFERROR(VLOOKUP(B33,'🚜 Araç Havuzu'!$A:$B,2,0),"")</f>
        <v/>
      </c>
      <c r="D33" s="11" t="str">
        <f ca="1">IFERROR(VLOOKUP(B33,'🚜 Araç Havuzu'!$A:$L,12,0),"")</f>
        <v/>
      </c>
      <c r="E33" s="47"/>
      <c r="F33" s="4"/>
      <c r="G33" s="47"/>
      <c r="H33" s="47"/>
      <c r="I33" s="12" t="str">
        <f t="shared" si="0"/>
        <v/>
      </c>
      <c r="J33" s="19"/>
      <c r="K33" s="19"/>
      <c r="L33" s="20" t="str">
        <f t="shared" si="1"/>
        <v/>
      </c>
      <c r="M33" s="6"/>
    </row>
    <row r="34" spans="1:13" ht="18" customHeight="1" x14ac:dyDescent="0.3">
      <c r="A34" s="9"/>
      <c r="B34" s="7"/>
      <c r="C34" s="15" t="str">
        <f ca="1">IFERROR(VLOOKUP(B34,'🚜 Araç Havuzu'!$A:$B,2,0),"")</f>
        <v/>
      </c>
      <c r="D34" s="15" t="str">
        <f ca="1">IFERROR(VLOOKUP(B34,'🚜 Araç Havuzu'!$A:$L,12,0),"")</f>
        <v/>
      </c>
      <c r="E34" s="48"/>
      <c r="F34" s="8"/>
      <c r="G34" s="48"/>
      <c r="H34" s="48"/>
      <c r="I34" s="16" t="str">
        <f t="shared" si="0"/>
        <v/>
      </c>
      <c r="J34" s="21"/>
      <c r="K34" s="21"/>
      <c r="L34" s="22" t="str">
        <f t="shared" si="1"/>
        <v/>
      </c>
      <c r="M34" s="10"/>
    </row>
    <row r="35" spans="1:13" ht="18" customHeight="1" x14ac:dyDescent="0.3">
      <c r="A35" s="5"/>
      <c r="B35" s="3"/>
      <c r="C35" s="11" t="str">
        <f ca="1">IFERROR(VLOOKUP(B35,'🚜 Araç Havuzu'!$A:$B,2,0),"")</f>
        <v/>
      </c>
      <c r="D35" s="11" t="str">
        <f ca="1">IFERROR(VLOOKUP(B35,'🚜 Araç Havuzu'!$A:$L,12,0),"")</f>
        <v/>
      </c>
      <c r="E35" s="47"/>
      <c r="F35" s="4"/>
      <c r="G35" s="47"/>
      <c r="H35" s="47"/>
      <c r="I35" s="12" t="str">
        <f t="shared" si="0"/>
        <v/>
      </c>
      <c r="J35" s="19"/>
      <c r="K35" s="19"/>
      <c r="L35" s="20" t="str">
        <f t="shared" si="1"/>
        <v/>
      </c>
      <c r="M35" s="6"/>
    </row>
    <row r="36" spans="1:13" ht="18" customHeight="1" x14ac:dyDescent="0.3">
      <c r="A36" s="9"/>
      <c r="B36" s="7"/>
      <c r="C36" s="15" t="str">
        <f ca="1">IFERROR(VLOOKUP(B36,'🚜 Araç Havuzu'!$A:$B,2,0),"")</f>
        <v/>
      </c>
      <c r="D36" s="15" t="str">
        <f ca="1">IFERROR(VLOOKUP(B36,'🚜 Araç Havuzu'!$A:$L,12,0),"")</f>
        <v/>
      </c>
      <c r="E36" s="48"/>
      <c r="F36" s="8"/>
      <c r="G36" s="48"/>
      <c r="H36" s="48"/>
      <c r="I36" s="16" t="str">
        <f t="shared" si="0"/>
        <v/>
      </c>
      <c r="J36" s="21"/>
      <c r="K36" s="21"/>
      <c r="L36" s="22" t="str">
        <f t="shared" si="1"/>
        <v/>
      </c>
      <c r="M36" s="10"/>
    </row>
    <row r="37" spans="1:13" ht="18" customHeight="1" x14ac:dyDescent="0.3">
      <c r="A37" s="5"/>
      <c r="B37" s="3"/>
      <c r="C37" s="11" t="str">
        <f ca="1">IFERROR(VLOOKUP(B37,'🚜 Araç Havuzu'!$A:$B,2,0),"")</f>
        <v/>
      </c>
      <c r="D37" s="11" t="str">
        <f ca="1">IFERROR(VLOOKUP(B37,'🚜 Araç Havuzu'!$A:$L,12,0),"")</f>
        <v/>
      </c>
      <c r="E37" s="47"/>
      <c r="F37" s="4"/>
      <c r="G37" s="47"/>
      <c r="H37" s="47"/>
      <c r="I37" s="12" t="str">
        <f t="shared" ref="I37:I68" si="2">IFERROR(IF(AND(E37&lt;&gt;"",H37&lt;&gt;""),MOD(TIMEVALUE(H37)-TIMEVALUE(E37),1)*24,""),"")</f>
        <v/>
      </c>
      <c r="J37" s="19"/>
      <c r="K37" s="19"/>
      <c r="L37" s="20" t="str">
        <f t="shared" ref="L37:L68" si="3">IF(AND(J37&lt;&gt;"",K37&lt;&gt;""),K37-J37,"")</f>
        <v/>
      </c>
      <c r="M37" s="6"/>
    </row>
    <row r="38" spans="1:13" ht="18" customHeight="1" x14ac:dyDescent="0.3">
      <c r="A38" s="9"/>
      <c r="B38" s="7"/>
      <c r="C38" s="15" t="str">
        <f ca="1">IFERROR(VLOOKUP(B38,'🚜 Araç Havuzu'!$A:$B,2,0),"")</f>
        <v/>
      </c>
      <c r="D38" s="15" t="str">
        <f ca="1">IFERROR(VLOOKUP(B38,'🚜 Araç Havuzu'!$A:$L,12,0),"")</f>
        <v/>
      </c>
      <c r="E38" s="48"/>
      <c r="F38" s="8"/>
      <c r="G38" s="48"/>
      <c r="H38" s="48"/>
      <c r="I38" s="16" t="str">
        <f t="shared" si="2"/>
        <v/>
      </c>
      <c r="J38" s="21"/>
      <c r="K38" s="21"/>
      <c r="L38" s="22" t="str">
        <f t="shared" si="3"/>
        <v/>
      </c>
      <c r="M38" s="10"/>
    </row>
    <row r="39" spans="1:13" ht="18" customHeight="1" x14ac:dyDescent="0.3">
      <c r="A39" s="5"/>
      <c r="B39" s="3"/>
      <c r="C39" s="11" t="str">
        <f ca="1">IFERROR(VLOOKUP(B39,'🚜 Araç Havuzu'!$A:$B,2,0),"")</f>
        <v/>
      </c>
      <c r="D39" s="11" t="str">
        <f ca="1">IFERROR(VLOOKUP(B39,'🚜 Araç Havuzu'!$A:$L,12,0),"")</f>
        <v/>
      </c>
      <c r="E39" s="47"/>
      <c r="F39" s="4"/>
      <c r="G39" s="47"/>
      <c r="H39" s="47"/>
      <c r="I39" s="12" t="str">
        <f t="shared" si="2"/>
        <v/>
      </c>
      <c r="J39" s="19"/>
      <c r="K39" s="19"/>
      <c r="L39" s="20" t="str">
        <f t="shared" si="3"/>
        <v/>
      </c>
      <c r="M39" s="6"/>
    </row>
    <row r="40" spans="1:13" ht="18" customHeight="1" x14ac:dyDescent="0.3">
      <c r="A40" s="9"/>
      <c r="B40" s="7"/>
      <c r="C40" s="15" t="str">
        <f ca="1">IFERROR(VLOOKUP(B40,'🚜 Araç Havuzu'!$A:$B,2,0),"")</f>
        <v/>
      </c>
      <c r="D40" s="15" t="str">
        <f ca="1">IFERROR(VLOOKUP(B40,'🚜 Araç Havuzu'!$A:$L,12,0),"")</f>
        <v/>
      </c>
      <c r="E40" s="48"/>
      <c r="F40" s="8"/>
      <c r="G40" s="48"/>
      <c r="H40" s="48"/>
      <c r="I40" s="16" t="str">
        <f t="shared" si="2"/>
        <v/>
      </c>
      <c r="J40" s="21"/>
      <c r="K40" s="21"/>
      <c r="L40" s="22" t="str">
        <f t="shared" si="3"/>
        <v/>
      </c>
      <c r="M40" s="10"/>
    </row>
    <row r="41" spans="1:13" ht="18" customHeight="1" x14ac:dyDescent="0.3">
      <c r="A41" s="5"/>
      <c r="B41" s="3"/>
      <c r="C41" s="11" t="str">
        <f ca="1">IFERROR(VLOOKUP(B41,'🚜 Araç Havuzu'!$A:$B,2,0),"")</f>
        <v/>
      </c>
      <c r="D41" s="11" t="str">
        <f ca="1">IFERROR(VLOOKUP(B41,'🚜 Araç Havuzu'!$A:$L,12,0),"")</f>
        <v/>
      </c>
      <c r="E41" s="47"/>
      <c r="F41" s="4"/>
      <c r="G41" s="47"/>
      <c r="H41" s="47"/>
      <c r="I41" s="12" t="str">
        <f t="shared" si="2"/>
        <v/>
      </c>
      <c r="J41" s="19"/>
      <c r="K41" s="19"/>
      <c r="L41" s="20" t="str">
        <f t="shared" si="3"/>
        <v/>
      </c>
      <c r="M41" s="6"/>
    </row>
    <row r="42" spans="1:13" ht="18" customHeight="1" x14ac:dyDescent="0.3">
      <c r="A42" s="9"/>
      <c r="B42" s="7"/>
      <c r="C42" s="15" t="str">
        <f ca="1">IFERROR(VLOOKUP(B42,'🚜 Araç Havuzu'!$A:$B,2,0),"")</f>
        <v/>
      </c>
      <c r="D42" s="15" t="str">
        <f ca="1">IFERROR(VLOOKUP(B42,'🚜 Araç Havuzu'!$A:$L,12,0),"")</f>
        <v/>
      </c>
      <c r="E42" s="48"/>
      <c r="F42" s="8"/>
      <c r="G42" s="48"/>
      <c r="H42" s="48"/>
      <c r="I42" s="16" t="str">
        <f t="shared" si="2"/>
        <v/>
      </c>
      <c r="J42" s="21"/>
      <c r="K42" s="21"/>
      <c r="L42" s="22" t="str">
        <f t="shared" si="3"/>
        <v/>
      </c>
      <c r="M42" s="10"/>
    </row>
    <row r="43" spans="1:13" ht="18" customHeight="1" x14ac:dyDescent="0.3">
      <c r="A43" s="5"/>
      <c r="B43" s="3"/>
      <c r="C43" s="11" t="str">
        <f ca="1">IFERROR(VLOOKUP(B43,'🚜 Araç Havuzu'!$A:$B,2,0),"")</f>
        <v/>
      </c>
      <c r="D43" s="11" t="str">
        <f ca="1">IFERROR(VLOOKUP(B43,'🚜 Araç Havuzu'!$A:$L,12,0),"")</f>
        <v/>
      </c>
      <c r="E43" s="47"/>
      <c r="F43" s="4"/>
      <c r="G43" s="47"/>
      <c r="H43" s="47"/>
      <c r="I43" s="12" t="str">
        <f t="shared" si="2"/>
        <v/>
      </c>
      <c r="J43" s="19"/>
      <c r="K43" s="19"/>
      <c r="L43" s="20" t="str">
        <f t="shared" si="3"/>
        <v/>
      </c>
      <c r="M43" s="6"/>
    </row>
    <row r="44" spans="1:13" ht="18" customHeight="1" x14ac:dyDescent="0.3">
      <c r="A44" s="9"/>
      <c r="B44" s="7"/>
      <c r="C44" s="15" t="str">
        <f ca="1">IFERROR(VLOOKUP(B44,'🚜 Araç Havuzu'!$A:$B,2,0),"")</f>
        <v/>
      </c>
      <c r="D44" s="15" t="str">
        <f ca="1">IFERROR(VLOOKUP(B44,'🚜 Araç Havuzu'!$A:$L,12,0),"")</f>
        <v/>
      </c>
      <c r="E44" s="48"/>
      <c r="F44" s="8"/>
      <c r="G44" s="48"/>
      <c r="H44" s="48"/>
      <c r="I44" s="16" t="str">
        <f t="shared" si="2"/>
        <v/>
      </c>
      <c r="J44" s="21"/>
      <c r="K44" s="21"/>
      <c r="L44" s="22" t="str">
        <f t="shared" si="3"/>
        <v/>
      </c>
      <c r="M44" s="10"/>
    </row>
    <row r="45" spans="1:13" ht="18" customHeight="1" x14ac:dyDescent="0.3">
      <c r="A45" s="5"/>
      <c r="B45" s="3"/>
      <c r="C45" s="11" t="str">
        <f ca="1">IFERROR(VLOOKUP(B45,'🚜 Araç Havuzu'!$A:$B,2,0),"")</f>
        <v/>
      </c>
      <c r="D45" s="11" t="str">
        <f ca="1">IFERROR(VLOOKUP(B45,'🚜 Araç Havuzu'!$A:$L,12,0),"")</f>
        <v/>
      </c>
      <c r="E45" s="47"/>
      <c r="F45" s="4"/>
      <c r="G45" s="47"/>
      <c r="H45" s="47"/>
      <c r="I45" s="12" t="str">
        <f t="shared" si="2"/>
        <v/>
      </c>
      <c r="J45" s="19"/>
      <c r="K45" s="19"/>
      <c r="L45" s="20" t="str">
        <f t="shared" si="3"/>
        <v/>
      </c>
      <c r="M45" s="6"/>
    </row>
    <row r="46" spans="1:13" ht="18" customHeight="1" x14ac:dyDescent="0.3">
      <c r="A46" s="9"/>
      <c r="B46" s="7"/>
      <c r="C46" s="15" t="str">
        <f ca="1">IFERROR(VLOOKUP(B46,'🚜 Araç Havuzu'!$A:$B,2,0),"")</f>
        <v/>
      </c>
      <c r="D46" s="15" t="str">
        <f ca="1">IFERROR(VLOOKUP(B46,'🚜 Araç Havuzu'!$A:$L,12,0),"")</f>
        <v/>
      </c>
      <c r="E46" s="48"/>
      <c r="F46" s="8"/>
      <c r="G46" s="48"/>
      <c r="H46" s="48"/>
      <c r="I46" s="16" t="str">
        <f t="shared" si="2"/>
        <v/>
      </c>
      <c r="J46" s="21"/>
      <c r="K46" s="21"/>
      <c r="L46" s="22" t="str">
        <f t="shared" si="3"/>
        <v/>
      </c>
      <c r="M46" s="10"/>
    </row>
    <row r="47" spans="1:13" ht="18" customHeight="1" x14ac:dyDescent="0.3">
      <c r="A47" s="5"/>
      <c r="B47" s="3"/>
      <c r="C47" s="11" t="str">
        <f ca="1">IFERROR(VLOOKUP(B47,'🚜 Araç Havuzu'!$A:$B,2,0),"")</f>
        <v/>
      </c>
      <c r="D47" s="11" t="str">
        <f ca="1">IFERROR(VLOOKUP(B47,'🚜 Araç Havuzu'!$A:$L,12,0),"")</f>
        <v/>
      </c>
      <c r="E47" s="47"/>
      <c r="F47" s="4"/>
      <c r="G47" s="47"/>
      <c r="H47" s="47"/>
      <c r="I47" s="12" t="str">
        <f t="shared" si="2"/>
        <v/>
      </c>
      <c r="J47" s="19"/>
      <c r="K47" s="19"/>
      <c r="L47" s="20" t="str">
        <f t="shared" si="3"/>
        <v/>
      </c>
      <c r="M47" s="6"/>
    </row>
    <row r="48" spans="1:13" ht="18" customHeight="1" x14ac:dyDescent="0.3">
      <c r="A48" s="9"/>
      <c r="B48" s="7"/>
      <c r="C48" s="15" t="str">
        <f ca="1">IFERROR(VLOOKUP(B48,'🚜 Araç Havuzu'!$A:$B,2,0),"")</f>
        <v/>
      </c>
      <c r="D48" s="15" t="str">
        <f ca="1">IFERROR(VLOOKUP(B48,'🚜 Araç Havuzu'!$A:$L,12,0),"")</f>
        <v/>
      </c>
      <c r="E48" s="48"/>
      <c r="F48" s="8"/>
      <c r="G48" s="48"/>
      <c r="H48" s="48"/>
      <c r="I48" s="16" t="str">
        <f t="shared" si="2"/>
        <v/>
      </c>
      <c r="J48" s="21"/>
      <c r="K48" s="21"/>
      <c r="L48" s="22" t="str">
        <f t="shared" si="3"/>
        <v/>
      </c>
      <c r="M48" s="10"/>
    </row>
    <row r="49" spans="1:13" ht="18" customHeight="1" x14ac:dyDescent="0.3">
      <c r="A49" s="5"/>
      <c r="B49" s="3"/>
      <c r="C49" s="11" t="str">
        <f ca="1">IFERROR(VLOOKUP(B49,'🚜 Araç Havuzu'!$A:$B,2,0),"")</f>
        <v/>
      </c>
      <c r="D49" s="11" t="str">
        <f ca="1">IFERROR(VLOOKUP(B49,'🚜 Araç Havuzu'!$A:$L,12,0),"")</f>
        <v/>
      </c>
      <c r="E49" s="47"/>
      <c r="F49" s="4"/>
      <c r="G49" s="47"/>
      <c r="H49" s="47"/>
      <c r="I49" s="12" t="str">
        <f t="shared" si="2"/>
        <v/>
      </c>
      <c r="J49" s="19"/>
      <c r="K49" s="19"/>
      <c r="L49" s="20" t="str">
        <f t="shared" si="3"/>
        <v/>
      </c>
      <c r="M49" s="6"/>
    </row>
    <row r="50" spans="1:13" ht="18" customHeight="1" x14ac:dyDescent="0.3">
      <c r="A50" s="9"/>
      <c r="B50" s="7"/>
      <c r="C50" s="15" t="str">
        <f ca="1">IFERROR(VLOOKUP(B50,'🚜 Araç Havuzu'!$A:$B,2,0),"")</f>
        <v/>
      </c>
      <c r="D50" s="15" t="str">
        <f ca="1">IFERROR(VLOOKUP(B50,'🚜 Araç Havuzu'!$A:$L,12,0),"")</f>
        <v/>
      </c>
      <c r="E50" s="48"/>
      <c r="F50" s="8"/>
      <c r="G50" s="48"/>
      <c r="H50" s="48"/>
      <c r="I50" s="16" t="str">
        <f t="shared" si="2"/>
        <v/>
      </c>
      <c r="J50" s="21"/>
      <c r="K50" s="21"/>
      <c r="L50" s="22" t="str">
        <f t="shared" si="3"/>
        <v/>
      </c>
      <c r="M50" s="10"/>
    </row>
    <row r="51" spans="1:13" ht="18" customHeight="1" x14ac:dyDescent="0.3">
      <c r="A51" s="5"/>
      <c r="B51" s="3"/>
      <c r="C51" s="11" t="str">
        <f ca="1">IFERROR(VLOOKUP(B51,'🚜 Araç Havuzu'!$A:$B,2,0),"")</f>
        <v/>
      </c>
      <c r="D51" s="11" t="str">
        <f ca="1">IFERROR(VLOOKUP(B51,'🚜 Araç Havuzu'!$A:$L,12,0),"")</f>
        <v/>
      </c>
      <c r="E51" s="47"/>
      <c r="F51" s="4"/>
      <c r="G51" s="47"/>
      <c r="H51" s="47"/>
      <c r="I51" s="12" t="str">
        <f t="shared" si="2"/>
        <v/>
      </c>
      <c r="J51" s="19"/>
      <c r="K51" s="19"/>
      <c r="L51" s="20" t="str">
        <f t="shared" si="3"/>
        <v/>
      </c>
      <c r="M51" s="6"/>
    </row>
    <row r="52" spans="1:13" ht="18" customHeight="1" x14ac:dyDescent="0.3">
      <c r="A52" s="9"/>
      <c r="B52" s="7"/>
      <c r="C52" s="15" t="str">
        <f ca="1">IFERROR(VLOOKUP(B52,'🚜 Araç Havuzu'!$A:$B,2,0),"")</f>
        <v/>
      </c>
      <c r="D52" s="15" t="str">
        <f ca="1">IFERROR(VLOOKUP(B52,'🚜 Araç Havuzu'!$A:$L,12,0),"")</f>
        <v/>
      </c>
      <c r="E52" s="48"/>
      <c r="F52" s="8"/>
      <c r="G52" s="48"/>
      <c r="H52" s="48"/>
      <c r="I52" s="16" t="str">
        <f t="shared" si="2"/>
        <v/>
      </c>
      <c r="J52" s="21"/>
      <c r="K52" s="21"/>
      <c r="L52" s="22" t="str">
        <f t="shared" si="3"/>
        <v/>
      </c>
      <c r="M52" s="10"/>
    </row>
    <row r="53" spans="1:13" ht="18" customHeight="1" x14ac:dyDescent="0.3">
      <c r="A53" s="5"/>
      <c r="B53" s="3"/>
      <c r="C53" s="11" t="str">
        <f ca="1">IFERROR(VLOOKUP(B53,'🚜 Araç Havuzu'!$A:$B,2,0),"")</f>
        <v/>
      </c>
      <c r="D53" s="11" t="str">
        <f ca="1">IFERROR(VLOOKUP(B53,'🚜 Araç Havuzu'!$A:$L,12,0),"")</f>
        <v/>
      </c>
      <c r="E53" s="47"/>
      <c r="F53" s="4"/>
      <c r="G53" s="47"/>
      <c r="H53" s="47"/>
      <c r="I53" s="12" t="str">
        <f t="shared" si="2"/>
        <v/>
      </c>
      <c r="J53" s="19"/>
      <c r="K53" s="19"/>
      <c r="L53" s="20" t="str">
        <f t="shared" si="3"/>
        <v/>
      </c>
      <c r="M53" s="6"/>
    </row>
    <row r="54" spans="1:13" ht="18" customHeight="1" x14ac:dyDescent="0.3">
      <c r="A54" s="9"/>
      <c r="B54" s="7"/>
      <c r="C54" s="15" t="str">
        <f ca="1">IFERROR(VLOOKUP(B54,'🚜 Araç Havuzu'!$A:$B,2,0),"")</f>
        <v/>
      </c>
      <c r="D54" s="15" t="str">
        <f ca="1">IFERROR(VLOOKUP(B54,'🚜 Araç Havuzu'!$A:$L,12,0),"")</f>
        <v/>
      </c>
      <c r="E54" s="48"/>
      <c r="F54" s="8"/>
      <c r="G54" s="48"/>
      <c r="H54" s="48"/>
      <c r="I54" s="16" t="str">
        <f t="shared" si="2"/>
        <v/>
      </c>
      <c r="J54" s="21"/>
      <c r="K54" s="21"/>
      <c r="L54" s="22" t="str">
        <f t="shared" si="3"/>
        <v/>
      </c>
      <c r="M54" s="10"/>
    </row>
    <row r="55" spans="1:13" ht="18" customHeight="1" x14ac:dyDescent="0.3">
      <c r="A55" s="5"/>
      <c r="B55" s="3"/>
      <c r="C55" s="11" t="str">
        <f ca="1">IFERROR(VLOOKUP(B55,'🚜 Araç Havuzu'!$A:$B,2,0),"")</f>
        <v/>
      </c>
      <c r="D55" s="11" t="str">
        <f ca="1">IFERROR(VLOOKUP(B55,'🚜 Araç Havuzu'!$A:$L,12,0),"")</f>
        <v/>
      </c>
      <c r="E55" s="47"/>
      <c r="F55" s="4"/>
      <c r="G55" s="47"/>
      <c r="H55" s="47"/>
      <c r="I55" s="12" t="str">
        <f t="shared" si="2"/>
        <v/>
      </c>
      <c r="J55" s="19"/>
      <c r="K55" s="19"/>
      <c r="L55" s="20" t="str">
        <f t="shared" si="3"/>
        <v/>
      </c>
      <c r="M55" s="6"/>
    </row>
    <row r="56" spans="1:13" ht="18" customHeight="1" x14ac:dyDescent="0.3">
      <c r="A56" s="9"/>
      <c r="B56" s="7"/>
      <c r="C56" s="15" t="str">
        <f ca="1">IFERROR(VLOOKUP(B56,'🚜 Araç Havuzu'!$A:$B,2,0),"")</f>
        <v/>
      </c>
      <c r="D56" s="15" t="str">
        <f ca="1">IFERROR(VLOOKUP(B56,'🚜 Araç Havuzu'!$A:$L,12,0),"")</f>
        <v/>
      </c>
      <c r="E56" s="48"/>
      <c r="F56" s="8"/>
      <c r="G56" s="48"/>
      <c r="H56" s="48"/>
      <c r="I56" s="16" t="str">
        <f t="shared" si="2"/>
        <v/>
      </c>
      <c r="J56" s="21"/>
      <c r="K56" s="21"/>
      <c r="L56" s="22" t="str">
        <f t="shared" si="3"/>
        <v/>
      </c>
      <c r="M56" s="10"/>
    </row>
    <row r="57" spans="1:13" ht="18" customHeight="1" x14ac:dyDescent="0.3">
      <c r="A57" s="5"/>
      <c r="B57" s="3"/>
      <c r="C57" s="11" t="str">
        <f ca="1">IFERROR(VLOOKUP(B57,'🚜 Araç Havuzu'!$A:$B,2,0),"")</f>
        <v/>
      </c>
      <c r="D57" s="11" t="str">
        <f ca="1">IFERROR(VLOOKUP(B57,'🚜 Araç Havuzu'!$A:$L,12,0),"")</f>
        <v/>
      </c>
      <c r="E57" s="47"/>
      <c r="F57" s="4"/>
      <c r="G57" s="47"/>
      <c r="H57" s="47"/>
      <c r="I57" s="12" t="str">
        <f t="shared" si="2"/>
        <v/>
      </c>
      <c r="J57" s="19"/>
      <c r="K57" s="19"/>
      <c r="L57" s="20" t="str">
        <f t="shared" si="3"/>
        <v/>
      </c>
      <c r="M57" s="6"/>
    </row>
    <row r="58" spans="1:13" ht="18" customHeight="1" x14ac:dyDescent="0.3">
      <c r="A58" s="9"/>
      <c r="B58" s="7"/>
      <c r="C58" s="15" t="str">
        <f ca="1">IFERROR(VLOOKUP(B58,'🚜 Araç Havuzu'!$A:$B,2,0),"")</f>
        <v/>
      </c>
      <c r="D58" s="15" t="str">
        <f ca="1">IFERROR(VLOOKUP(B58,'🚜 Araç Havuzu'!$A:$L,12,0),"")</f>
        <v/>
      </c>
      <c r="E58" s="48"/>
      <c r="F58" s="8"/>
      <c r="G58" s="48"/>
      <c r="H58" s="48"/>
      <c r="I58" s="16" t="str">
        <f t="shared" si="2"/>
        <v/>
      </c>
      <c r="J58" s="21"/>
      <c r="K58" s="21"/>
      <c r="L58" s="22" t="str">
        <f t="shared" si="3"/>
        <v/>
      </c>
      <c r="M58" s="10"/>
    </row>
    <row r="59" spans="1:13" ht="18" customHeight="1" x14ac:dyDescent="0.3">
      <c r="A59" s="5"/>
      <c r="B59" s="3"/>
      <c r="C59" s="11" t="str">
        <f ca="1">IFERROR(VLOOKUP(B59,'🚜 Araç Havuzu'!$A:$B,2,0),"")</f>
        <v/>
      </c>
      <c r="D59" s="11" t="str">
        <f ca="1">IFERROR(VLOOKUP(B59,'🚜 Araç Havuzu'!$A:$L,12,0),"")</f>
        <v/>
      </c>
      <c r="E59" s="47"/>
      <c r="F59" s="4"/>
      <c r="G59" s="47"/>
      <c r="H59" s="47"/>
      <c r="I59" s="12" t="str">
        <f t="shared" si="2"/>
        <v/>
      </c>
      <c r="J59" s="19"/>
      <c r="K59" s="19"/>
      <c r="L59" s="20" t="str">
        <f t="shared" si="3"/>
        <v/>
      </c>
      <c r="M59" s="6"/>
    </row>
    <row r="60" spans="1:13" ht="18" customHeight="1" x14ac:dyDescent="0.3">
      <c r="A60" s="9"/>
      <c r="B60" s="7"/>
      <c r="C60" s="15" t="str">
        <f ca="1">IFERROR(VLOOKUP(B60,'🚜 Araç Havuzu'!$A:$B,2,0),"")</f>
        <v/>
      </c>
      <c r="D60" s="15" t="str">
        <f ca="1">IFERROR(VLOOKUP(B60,'🚜 Araç Havuzu'!$A:$L,12,0),"")</f>
        <v/>
      </c>
      <c r="E60" s="48"/>
      <c r="F60" s="8"/>
      <c r="G60" s="48"/>
      <c r="H60" s="48"/>
      <c r="I60" s="16" t="str">
        <f t="shared" si="2"/>
        <v/>
      </c>
      <c r="J60" s="21"/>
      <c r="K60" s="21"/>
      <c r="L60" s="22" t="str">
        <f t="shared" si="3"/>
        <v/>
      </c>
      <c r="M60" s="10"/>
    </row>
    <row r="61" spans="1:13" ht="18" customHeight="1" x14ac:dyDescent="0.3">
      <c r="A61" s="5"/>
      <c r="B61" s="3"/>
      <c r="C61" s="11" t="str">
        <f ca="1">IFERROR(VLOOKUP(B61,'🚜 Araç Havuzu'!$A:$B,2,0),"")</f>
        <v/>
      </c>
      <c r="D61" s="11" t="str">
        <f ca="1">IFERROR(VLOOKUP(B61,'🚜 Araç Havuzu'!$A:$L,12,0),"")</f>
        <v/>
      </c>
      <c r="E61" s="47"/>
      <c r="F61" s="4"/>
      <c r="G61" s="47"/>
      <c r="H61" s="47"/>
      <c r="I61" s="12" t="str">
        <f t="shared" si="2"/>
        <v/>
      </c>
      <c r="J61" s="19"/>
      <c r="K61" s="19"/>
      <c r="L61" s="20" t="str">
        <f t="shared" si="3"/>
        <v/>
      </c>
      <c r="M61" s="6"/>
    </row>
    <row r="62" spans="1:13" ht="18" customHeight="1" x14ac:dyDescent="0.3">
      <c r="A62" s="9"/>
      <c r="B62" s="7"/>
      <c r="C62" s="15" t="str">
        <f ca="1">IFERROR(VLOOKUP(B62,'🚜 Araç Havuzu'!$A:$B,2,0),"")</f>
        <v/>
      </c>
      <c r="D62" s="15" t="str">
        <f ca="1">IFERROR(VLOOKUP(B62,'🚜 Araç Havuzu'!$A:$L,12,0),"")</f>
        <v/>
      </c>
      <c r="E62" s="48"/>
      <c r="F62" s="8"/>
      <c r="G62" s="48"/>
      <c r="H62" s="48"/>
      <c r="I62" s="16" t="str">
        <f t="shared" si="2"/>
        <v/>
      </c>
      <c r="J62" s="21"/>
      <c r="K62" s="21"/>
      <c r="L62" s="22" t="str">
        <f t="shared" si="3"/>
        <v/>
      </c>
      <c r="M62" s="10"/>
    </row>
    <row r="63" spans="1:13" ht="18" customHeight="1" x14ac:dyDescent="0.3">
      <c r="A63" s="5"/>
      <c r="B63" s="3"/>
      <c r="C63" s="11" t="str">
        <f ca="1">IFERROR(VLOOKUP(B63,'🚜 Araç Havuzu'!$A:$B,2,0),"")</f>
        <v/>
      </c>
      <c r="D63" s="11" t="str">
        <f ca="1">IFERROR(VLOOKUP(B63,'🚜 Araç Havuzu'!$A:$L,12,0),"")</f>
        <v/>
      </c>
      <c r="E63" s="47"/>
      <c r="F63" s="4"/>
      <c r="G63" s="47"/>
      <c r="H63" s="47"/>
      <c r="I63" s="12" t="str">
        <f t="shared" si="2"/>
        <v/>
      </c>
      <c r="J63" s="19"/>
      <c r="K63" s="19"/>
      <c r="L63" s="20" t="str">
        <f t="shared" si="3"/>
        <v/>
      </c>
      <c r="M63" s="6"/>
    </row>
    <row r="64" spans="1:13" ht="18" customHeight="1" x14ac:dyDescent="0.3">
      <c r="A64" s="9"/>
      <c r="B64" s="7"/>
      <c r="C64" s="15" t="str">
        <f ca="1">IFERROR(VLOOKUP(B64,'🚜 Araç Havuzu'!$A:$B,2,0),"")</f>
        <v/>
      </c>
      <c r="D64" s="15" t="str">
        <f ca="1">IFERROR(VLOOKUP(B64,'🚜 Araç Havuzu'!$A:$L,12,0),"")</f>
        <v/>
      </c>
      <c r="E64" s="48"/>
      <c r="F64" s="8"/>
      <c r="G64" s="48"/>
      <c r="H64" s="48"/>
      <c r="I64" s="16" t="str">
        <f t="shared" si="2"/>
        <v/>
      </c>
      <c r="J64" s="21"/>
      <c r="K64" s="21"/>
      <c r="L64" s="22" t="str">
        <f t="shared" si="3"/>
        <v/>
      </c>
      <c r="M64" s="10"/>
    </row>
    <row r="65" spans="1:13" ht="18" customHeight="1" x14ac:dyDescent="0.3">
      <c r="A65" s="5"/>
      <c r="B65" s="3"/>
      <c r="C65" s="11" t="str">
        <f ca="1">IFERROR(VLOOKUP(B65,'🚜 Araç Havuzu'!$A:$B,2,0),"")</f>
        <v/>
      </c>
      <c r="D65" s="11" t="str">
        <f ca="1">IFERROR(VLOOKUP(B65,'🚜 Araç Havuzu'!$A:$L,12,0),"")</f>
        <v/>
      </c>
      <c r="E65" s="47"/>
      <c r="F65" s="4"/>
      <c r="G65" s="47"/>
      <c r="H65" s="47"/>
      <c r="I65" s="12" t="str">
        <f t="shared" si="2"/>
        <v/>
      </c>
      <c r="J65" s="19"/>
      <c r="K65" s="19"/>
      <c r="L65" s="20" t="str">
        <f t="shared" si="3"/>
        <v/>
      </c>
      <c r="M65" s="6"/>
    </row>
    <row r="66" spans="1:13" ht="18" customHeight="1" x14ac:dyDescent="0.3">
      <c r="A66" s="9"/>
      <c r="B66" s="7"/>
      <c r="C66" s="15" t="str">
        <f ca="1">IFERROR(VLOOKUP(B66,'🚜 Araç Havuzu'!$A:$B,2,0),"")</f>
        <v/>
      </c>
      <c r="D66" s="15" t="str">
        <f ca="1">IFERROR(VLOOKUP(B66,'🚜 Araç Havuzu'!$A:$L,12,0),"")</f>
        <v/>
      </c>
      <c r="E66" s="48"/>
      <c r="F66" s="8"/>
      <c r="G66" s="48"/>
      <c r="H66" s="48"/>
      <c r="I66" s="16" t="str">
        <f t="shared" si="2"/>
        <v/>
      </c>
      <c r="J66" s="21"/>
      <c r="K66" s="21"/>
      <c r="L66" s="22" t="str">
        <f t="shared" si="3"/>
        <v/>
      </c>
      <c r="M66" s="10"/>
    </row>
    <row r="67" spans="1:13" ht="18" customHeight="1" x14ac:dyDescent="0.3">
      <c r="A67" s="5"/>
      <c r="B67" s="3"/>
      <c r="C67" s="11" t="str">
        <f ca="1">IFERROR(VLOOKUP(B67,'🚜 Araç Havuzu'!$A:$B,2,0),"")</f>
        <v/>
      </c>
      <c r="D67" s="11" t="str">
        <f ca="1">IFERROR(VLOOKUP(B67,'🚜 Araç Havuzu'!$A:$L,12,0),"")</f>
        <v/>
      </c>
      <c r="E67" s="47"/>
      <c r="F67" s="4"/>
      <c r="G67" s="47"/>
      <c r="H67" s="47"/>
      <c r="I67" s="12" t="str">
        <f t="shared" si="2"/>
        <v/>
      </c>
      <c r="J67" s="19"/>
      <c r="K67" s="19"/>
      <c r="L67" s="20" t="str">
        <f t="shared" si="3"/>
        <v/>
      </c>
      <c r="M67" s="6"/>
    </row>
    <row r="68" spans="1:13" ht="18" customHeight="1" x14ac:dyDescent="0.3">
      <c r="A68" s="9"/>
      <c r="B68" s="7"/>
      <c r="C68" s="15" t="str">
        <f ca="1">IFERROR(VLOOKUP(B68,'🚜 Araç Havuzu'!$A:$B,2,0),"")</f>
        <v/>
      </c>
      <c r="D68" s="15" t="str">
        <f ca="1">IFERROR(VLOOKUP(B68,'🚜 Araç Havuzu'!$A:$L,12,0),"")</f>
        <v/>
      </c>
      <c r="E68" s="48"/>
      <c r="F68" s="8"/>
      <c r="G68" s="48"/>
      <c r="H68" s="48"/>
      <c r="I68" s="16" t="str">
        <f t="shared" si="2"/>
        <v/>
      </c>
      <c r="J68" s="21"/>
      <c r="K68" s="21"/>
      <c r="L68" s="22" t="str">
        <f t="shared" si="3"/>
        <v/>
      </c>
      <c r="M68" s="10"/>
    </row>
    <row r="69" spans="1:13" ht="18" customHeight="1" x14ac:dyDescent="0.3">
      <c r="A69" s="5"/>
      <c r="B69" s="3"/>
      <c r="C69" s="11" t="str">
        <f ca="1">IFERROR(VLOOKUP(B69,'🚜 Araç Havuzu'!$A:$B,2,0),"")</f>
        <v/>
      </c>
      <c r="D69" s="11" t="str">
        <f ca="1">IFERROR(VLOOKUP(B69,'🚜 Araç Havuzu'!$A:$L,12,0),"")</f>
        <v/>
      </c>
      <c r="E69" s="47"/>
      <c r="F69" s="4"/>
      <c r="G69" s="47"/>
      <c r="H69" s="47"/>
      <c r="I69" s="12" t="str">
        <f t="shared" ref="I69:I100" si="4">IFERROR(IF(AND(E69&lt;&gt;"",H69&lt;&gt;""),MOD(TIMEVALUE(H69)-TIMEVALUE(E69),1)*24,""),"")</f>
        <v/>
      </c>
      <c r="J69" s="19"/>
      <c r="K69" s="19"/>
      <c r="L69" s="20" t="str">
        <f t="shared" ref="L69:L100" si="5">IF(AND(J69&lt;&gt;"",K69&lt;&gt;""),K69-J69,"")</f>
        <v/>
      </c>
      <c r="M69" s="6"/>
    </row>
    <row r="70" spans="1:13" ht="18" customHeight="1" x14ac:dyDescent="0.3">
      <c r="A70" s="9"/>
      <c r="B70" s="7"/>
      <c r="C70" s="15" t="str">
        <f ca="1">IFERROR(VLOOKUP(B70,'🚜 Araç Havuzu'!$A:$B,2,0),"")</f>
        <v/>
      </c>
      <c r="D70" s="15" t="str">
        <f ca="1">IFERROR(VLOOKUP(B70,'🚜 Araç Havuzu'!$A:$L,12,0),"")</f>
        <v/>
      </c>
      <c r="E70" s="48"/>
      <c r="F70" s="8"/>
      <c r="G70" s="48"/>
      <c r="H70" s="48"/>
      <c r="I70" s="16" t="str">
        <f t="shared" si="4"/>
        <v/>
      </c>
      <c r="J70" s="21"/>
      <c r="K70" s="21"/>
      <c r="L70" s="22" t="str">
        <f t="shared" si="5"/>
        <v/>
      </c>
      <c r="M70" s="10"/>
    </row>
    <row r="71" spans="1:13" ht="18" customHeight="1" x14ac:dyDescent="0.3">
      <c r="A71" s="5"/>
      <c r="B71" s="3"/>
      <c r="C71" s="11" t="str">
        <f ca="1">IFERROR(VLOOKUP(B71,'🚜 Araç Havuzu'!$A:$B,2,0),"")</f>
        <v/>
      </c>
      <c r="D71" s="11" t="str">
        <f ca="1">IFERROR(VLOOKUP(B71,'🚜 Araç Havuzu'!$A:$L,12,0),"")</f>
        <v/>
      </c>
      <c r="E71" s="47"/>
      <c r="F71" s="4"/>
      <c r="G71" s="47"/>
      <c r="H71" s="47"/>
      <c r="I71" s="12" t="str">
        <f t="shared" si="4"/>
        <v/>
      </c>
      <c r="J71" s="19"/>
      <c r="K71" s="19"/>
      <c r="L71" s="20" t="str">
        <f t="shared" si="5"/>
        <v/>
      </c>
      <c r="M71" s="6"/>
    </row>
    <row r="72" spans="1:13" ht="18" customHeight="1" x14ac:dyDescent="0.3">
      <c r="A72" s="9"/>
      <c r="B72" s="7"/>
      <c r="C72" s="15" t="str">
        <f ca="1">IFERROR(VLOOKUP(B72,'🚜 Araç Havuzu'!$A:$B,2,0),"")</f>
        <v/>
      </c>
      <c r="D72" s="15" t="str">
        <f ca="1">IFERROR(VLOOKUP(B72,'🚜 Araç Havuzu'!$A:$L,12,0),"")</f>
        <v/>
      </c>
      <c r="E72" s="48"/>
      <c r="F72" s="8"/>
      <c r="G72" s="48"/>
      <c r="H72" s="48"/>
      <c r="I72" s="16" t="str">
        <f t="shared" si="4"/>
        <v/>
      </c>
      <c r="J72" s="21"/>
      <c r="K72" s="21"/>
      <c r="L72" s="22" t="str">
        <f t="shared" si="5"/>
        <v/>
      </c>
      <c r="M72" s="10"/>
    </row>
    <row r="73" spans="1:13" ht="18" customHeight="1" x14ac:dyDescent="0.3">
      <c r="A73" s="5"/>
      <c r="B73" s="3"/>
      <c r="C73" s="11" t="str">
        <f ca="1">IFERROR(VLOOKUP(B73,'🚜 Araç Havuzu'!$A:$B,2,0),"")</f>
        <v/>
      </c>
      <c r="D73" s="11" t="str">
        <f ca="1">IFERROR(VLOOKUP(B73,'🚜 Araç Havuzu'!$A:$L,12,0),"")</f>
        <v/>
      </c>
      <c r="E73" s="47"/>
      <c r="F73" s="4"/>
      <c r="G73" s="47"/>
      <c r="H73" s="47"/>
      <c r="I73" s="12" t="str">
        <f t="shared" si="4"/>
        <v/>
      </c>
      <c r="J73" s="19"/>
      <c r="K73" s="19"/>
      <c r="L73" s="20" t="str">
        <f t="shared" si="5"/>
        <v/>
      </c>
      <c r="M73" s="6"/>
    </row>
    <row r="74" spans="1:13" ht="18" customHeight="1" x14ac:dyDescent="0.3">
      <c r="A74" s="9"/>
      <c r="B74" s="7"/>
      <c r="C74" s="15" t="str">
        <f ca="1">IFERROR(VLOOKUP(B74,'🚜 Araç Havuzu'!$A:$B,2,0),"")</f>
        <v/>
      </c>
      <c r="D74" s="15" t="str">
        <f ca="1">IFERROR(VLOOKUP(B74,'🚜 Araç Havuzu'!$A:$L,12,0),"")</f>
        <v/>
      </c>
      <c r="E74" s="48"/>
      <c r="F74" s="8"/>
      <c r="G74" s="48"/>
      <c r="H74" s="48"/>
      <c r="I74" s="16" t="str">
        <f t="shared" si="4"/>
        <v/>
      </c>
      <c r="J74" s="21"/>
      <c r="K74" s="21"/>
      <c r="L74" s="22" t="str">
        <f t="shared" si="5"/>
        <v/>
      </c>
      <c r="M74" s="10"/>
    </row>
    <row r="75" spans="1:13" ht="18" customHeight="1" x14ac:dyDescent="0.3">
      <c r="A75" s="5"/>
      <c r="B75" s="3"/>
      <c r="C75" s="11" t="str">
        <f ca="1">IFERROR(VLOOKUP(B75,'🚜 Araç Havuzu'!$A:$B,2,0),"")</f>
        <v/>
      </c>
      <c r="D75" s="11" t="str">
        <f ca="1">IFERROR(VLOOKUP(B75,'🚜 Araç Havuzu'!$A:$L,12,0),"")</f>
        <v/>
      </c>
      <c r="E75" s="47"/>
      <c r="F75" s="4"/>
      <c r="G75" s="47"/>
      <c r="H75" s="47"/>
      <c r="I75" s="12" t="str">
        <f t="shared" si="4"/>
        <v/>
      </c>
      <c r="J75" s="19"/>
      <c r="K75" s="19"/>
      <c r="L75" s="20" t="str">
        <f t="shared" si="5"/>
        <v/>
      </c>
      <c r="M75" s="6"/>
    </row>
    <row r="76" spans="1:13" ht="18" customHeight="1" x14ac:dyDescent="0.3">
      <c r="A76" s="9"/>
      <c r="B76" s="7"/>
      <c r="C76" s="15" t="str">
        <f ca="1">IFERROR(VLOOKUP(B76,'🚜 Araç Havuzu'!$A:$B,2,0),"")</f>
        <v/>
      </c>
      <c r="D76" s="15" t="str">
        <f ca="1">IFERROR(VLOOKUP(B76,'🚜 Araç Havuzu'!$A:$L,12,0),"")</f>
        <v/>
      </c>
      <c r="E76" s="48"/>
      <c r="F76" s="8"/>
      <c r="G76" s="48"/>
      <c r="H76" s="48"/>
      <c r="I76" s="16" t="str">
        <f t="shared" si="4"/>
        <v/>
      </c>
      <c r="J76" s="21"/>
      <c r="K76" s="21"/>
      <c r="L76" s="22" t="str">
        <f t="shared" si="5"/>
        <v/>
      </c>
      <c r="M76" s="10"/>
    </row>
    <row r="77" spans="1:13" ht="18" customHeight="1" x14ac:dyDescent="0.3">
      <c r="A77" s="5"/>
      <c r="B77" s="3"/>
      <c r="C77" s="11" t="str">
        <f ca="1">IFERROR(VLOOKUP(B77,'🚜 Araç Havuzu'!$A:$B,2,0),"")</f>
        <v/>
      </c>
      <c r="D77" s="11" t="str">
        <f ca="1">IFERROR(VLOOKUP(B77,'🚜 Araç Havuzu'!$A:$L,12,0),"")</f>
        <v/>
      </c>
      <c r="E77" s="47"/>
      <c r="F77" s="4"/>
      <c r="G77" s="47"/>
      <c r="H77" s="47"/>
      <c r="I77" s="12" t="str">
        <f t="shared" si="4"/>
        <v/>
      </c>
      <c r="J77" s="19"/>
      <c r="K77" s="19"/>
      <c r="L77" s="20" t="str">
        <f t="shared" si="5"/>
        <v/>
      </c>
      <c r="M77" s="6"/>
    </row>
    <row r="78" spans="1:13" ht="18" customHeight="1" x14ac:dyDescent="0.3">
      <c r="A78" s="9"/>
      <c r="B78" s="7"/>
      <c r="C78" s="15" t="str">
        <f ca="1">IFERROR(VLOOKUP(B78,'🚜 Araç Havuzu'!$A:$B,2,0),"")</f>
        <v/>
      </c>
      <c r="D78" s="15" t="str">
        <f ca="1">IFERROR(VLOOKUP(B78,'🚜 Araç Havuzu'!$A:$L,12,0),"")</f>
        <v/>
      </c>
      <c r="E78" s="48"/>
      <c r="F78" s="8"/>
      <c r="G78" s="48"/>
      <c r="H78" s="48"/>
      <c r="I78" s="16" t="str">
        <f t="shared" si="4"/>
        <v/>
      </c>
      <c r="J78" s="21"/>
      <c r="K78" s="21"/>
      <c r="L78" s="22" t="str">
        <f t="shared" si="5"/>
        <v/>
      </c>
      <c r="M78" s="10"/>
    </row>
    <row r="79" spans="1:13" ht="18" customHeight="1" x14ac:dyDescent="0.3">
      <c r="A79" s="5"/>
      <c r="B79" s="3"/>
      <c r="C79" s="11" t="str">
        <f ca="1">IFERROR(VLOOKUP(B79,'🚜 Araç Havuzu'!$A:$B,2,0),"")</f>
        <v/>
      </c>
      <c r="D79" s="11" t="str">
        <f ca="1">IFERROR(VLOOKUP(B79,'🚜 Araç Havuzu'!$A:$L,12,0),"")</f>
        <v/>
      </c>
      <c r="E79" s="47"/>
      <c r="F79" s="4"/>
      <c r="G79" s="47"/>
      <c r="H79" s="47"/>
      <c r="I79" s="12" t="str">
        <f t="shared" si="4"/>
        <v/>
      </c>
      <c r="J79" s="19"/>
      <c r="K79" s="19"/>
      <c r="L79" s="20" t="str">
        <f t="shared" si="5"/>
        <v/>
      </c>
      <c r="M79" s="6"/>
    </row>
    <row r="80" spans="1:13" ht="18" customHeight="1" x14ac:dyDescent="0.3">
      <c r="A80" s="9"/>
      <c r="B80" s="7"/>
      <c r="C80" s="15" t="str">
        <f ca="1">IFERROR(VLOOKUP(B80,'🚜 Araç Havuzu'!$A:$B,2,0),"")</f>
        <v/>
      </c>
      <c r="D80" s="15" t="str">
        <f ca="1">IFERROR(VLOOKUP(B80,'🚜 Araç Havuzu'!$A:$L,12,0),"")</f>
        <v/>
      </c>
      <c r="E80" s="48"/>
      <c r="F80" s="8"/>
      <c r="G80" s="48"/>
      <c r="H80" s="48"/>
      <c r="I80" s="16" t="str">
        <f t="shared" si="4"/>
        <v/>
      </c>
      <c r="J80" s="21"/>
      <c r="K80" s="21"/>
      <c r="L80" s="22" t="str">
        <f t="shared" si="5"/>
        <v/>
      </c>
      <c r="M80" s="10"/>
    </row>
    <row r="81" spans="1:13" ht="18" customHeight="1" x14ac:dyDescent="0.3">
      <c r="A81" s="5"/>
      <c r="B81" s="3"/>
      <c r="C81" s="11" t="str">
        <f ca="1">IFERROR(VLOOKUP(B81,'🚜 Araç Havuzu'!$A:$B,2,0),"")</f>
        <v/>
      </c>
      <c r="D81" s="11" t="str">
        <f ca="1">IFERROR(VLOOKUP(B81,'🚜 Araç Havuzu'!$A:$L,12,0),"")</f>
        <v/>
      </c>
      <c r="E81" s="47"/>
      <c r="F81" s="4"/>
      <c r="G81" s="47"/>
      <c r="H81" s="47"/>
      <c r="I81" s="12" t="str">
        <f t="shared" si="4"/>
        <v/>
      </c>
      <c r="J81" s="19"/>
      <c r="K81" s="19"/>
      <c r="L81" s="20" t="str">
        <f t="shared" si="5"/>
        <v/>
      </c>
      <c r="M81" s="6"/>
    </row>
    <row r="82" spans="1:13" ht="18" customHeight="1" x14ac:dyDescent="0.3">
      <c r="A82" s="9"/>
      <c r="B82" s="7"/>
      <c r="C82" s="15" t="str">
        <f ca="1">IFERROR(VLOOKUP(B82,'🚜 Araç Havuzu'!$A:$B,2,0),"")</f>
        <v/>
      </c>
      <c r="D82" s="15" t="str">
        <f ca="1">IFERROR(VLOOKUP(B82,'🚜 Araç Havuzu'!$A:$L,12,0),"")</f>
        <v/>
      </c>
      <c r="E82" s="48"/>
      <c r="F82" s="8"/>
      <c r="G82" s="48"/>
      <c r="H82" s="48"/>
      <c r="I82" s="16" t="str">
        <f t="shared" si="4"/>
        <v/>
      </c>
      <c r="J82" s="21"/>
      <c r="K82" s="21"/>
      <c r="L82" s="22" t="str">
        <f t="shared" si="5"/>
        <v/>
      </c>
      <c r="M82" s="10"/>
    </row>
    <row r="83" spans="1:13" ht="18" customHeight="1" x14ac:dyDescent="0.3">
      <c r="A83" s="5"/>
      <c r="B83" s="3"/>
      <c r="C83" s="11" t="str">
        <f ca="1">IFERROR(VLOOKUP(B83,'🚜 Araç Havuzu'!$A:$B,2,0),"")</f>
        <v/>
      </c>
      <c r="D83" s="11" t="str">
        <f ca="1">IFERROR(VLOOKUP(B83,'🚜 Araç Havuzu'!$A:$L,12,0),"")</f>
        <v/>
      </c>
      <c r="E83" s="47"/>
      <c r="F83" s="4"/>
      <c r="G83" s="47"/>
      <c r="H83" s="47"/>
      <c r="I83" s="12" t="str">
        <f t="shared" si="4"/>
        <v/>
      </c>
      <c r="J83" s="19"/>
      <c r="K83" s="19"/>
      <c r="L83" s="20" t="str">
        <f t="shared" si="5"/>
        <v/>
      </c>
      <c r="M83" s="6"/>
    </row>
    <row r="84" spans="1:13" ht="18" customHeight="1" x14ac:dyDescent="0.3">
      <c r="A84" s="9"/>
      <c r="B84" s="7"/>
      <c r="C84" s="15" t="str">
        <f ca="1">IFERROR(VLOOKUP(B84,'🚜 Araç Havuzu'!$A:$B,2,0),"")</f>
        <v/>
      </c>
      <c r="D84" s="15" t="str">
        <f ca="1">IFERROR(VLOOKUP(B84,'🚜 Araç Havuzu'!$A:$L,12,0),"")</f>
        <v/>
      </c>
      <c r="E84" s="48"/>
      <c r="F84" s="8"/>
      <c r="G84" s="48"/>
      <c r="H84" s="48"/>
      <c r="I84" s="16" t="str">
        <f t="shared" si="4"/>
        <v/>
      </c>
      <c r="J84" s="21"/>
      <c r="K84" s="21"/>
      <c r="L84" s="22" t="str">
        <f t="shared" si="5"/>
        <v/>
      </c>
      <c r="M84" s="10"/>
    </row>
    <row r="85" spans="1:13" ht="18" customHeight="1" x14ac:dyDescent="0.3">
      <c r="A85" s="5"/>
      <c r="B85" s="3"/>
      <c r="C85" s="11" t="str">
        <f ca="1">IFERROR(VLOOKUP(B85,'🚜 Araç Havuzu'!$A:$B,2,0),"")</f>
        <v/>
      </c>
      <c r="D85" s="11" t="str">
        <f ca="1">IFERROR(VLOOKUP(B85,'🚜 Araç Havuzu'!$A:$L,12,0),"")</f>
        <v/>
      </c>
      <c r="E85" s="47"/>
      <c r="F85" s="4"/>
      <c r="G85" s="47"/>
      <c r="H85" s="47"/>
      <c r="I85" s="12" t="str">
        <f t="shared" si="4"/>
        <v/>
      </c>
      <c r="J85" s="19"/>
      <c r="K85" s="19"/>
      <c r="L85" s="20" t="str">
        <f t="shared" si="5"/>
        <v/>
      </c>
      <c r="M85" s="6"/>
    </row>
    <row r="86" spans="1:13" ht="18" customHeight="1" x14ac:dyDescent="0.3">
      <c r="A86" s="9"/>
      <c r="B86" s="7"/>
      <c r="C86" s="15" t="str">
        <f ca="1">IFERROR(VLOOKUP(B86,'🚜 Araç Havuzu'!$A:$B,2,0),"")</f>
        <v/>
      </c>
      <c r="D86" s="15" t="str">
        <f ca="1">IFERROR(VLOOKUP(B86,'🚜 Araç Havuzu'!$A:$L,12,0),"")</f>
        <v/>
      </c>
      <c r="E86" s="48"/>
      <c r="F86" s="8"/>
      <c r="G86" s="48"/>
      <c r="H86" s="48"/>
      <c r="I86" s="16" t="str">
        <f t="shared" si="4"/>
        <v/>
      </c>
      <c r="J86" s="21"/>
      <c r="K86" s="21"/>
      <c r="L86" s="22" t="str">
        <f t="shared" si="5"/>
        <v/>
      </c>
      <c r="M86" s="10"/>
    </row>
    <row r="87" spans="1:13" ht="18" customHeight="1" x14ac:dyDescent="0.3">
      <c r="A87" s="5"/>
      <c r="B87" s="3"/>
      <c r="C87" s="11" t="str">
        <f ca="1">IFERROR(VLOOKUP(B87,'🚜 Araç Havuzu'!$A:$B,2,0),"")</f>
        <v/>
      </c>
      <c r="D87" s="11" t="str">
        <f ca="1">IFERROR(VLOOKUP(B87,'🚜 Araç Havuzu'!$A:$L,12,0),"")</f>
        <v/>
      </c>
      <c r="E87" s="47"/>
      <c r="F87" s="4"/>
      <c r="G87" s="47"/>
      <c r="H87" s="47"/>
      <c r="I87" s="12" t="str">
        <f t="shared" si="4"/>
        <v/>
      </c>
      <c r="J87" s="19"/>
      <c r="K87" s="19"/>
      <c r="L87" s="20" t="str">
        <f t="shared" si="5"/>
        <v/>
      </c>
      <c r="M87" s="6"/>
    </row>
    <row r="88" spans="1:13" ht="18" customHeight="1" x14ac:dyDescent="0.3">
      <c r="A88" s="9"/>
      <c r="B88" s="7"/>
      <c r="C88" s="15" t="str">
        <f ca="1">IFERROR(VLOOKUP(B88,'🚜 Araç Havuzu'!$A:$B,2,0),"")</f>
        <v/>
      </c>
      <c r="D88" s="15" t="str">
        <f ca="1">IFERROR(VLOOKUP(B88,'🚜 Araç Havuzu'!$A:$L,12,0),"")</f>
        <v/>
      </c>
      <c r="E88" s="48"/>
      <c r="F88" s="8"/>
      <c r="G88" s="48"/>
      <c r="H88" s="48"/>
      <c r="I88" s="16" t="str">
        <f t="shared" si="4"/>
        <v/>
      </c>
      <c r="J88" s="21"/>
      <c r="K88" s="21"/>
      <c r="L88" s="22" t="str">
        <f t="shared" si="5"/>
        <v/>
      </c>
      <c r="M88" s="10"/>
    </row>
    <row r="89" spans="1:13" ht="18" customHeight="1" x14ac:dyDescent="0.3">
      <c r="A89" s="5"/>
      <c r="B89" s="3"/>
      <c r="C89" s="11" t="str">
        <f ca="1">IFERROR(VLOOKUP(B89,'🚜 Araç Havuzu'!$A:$B,2,0),"")</f>
        <v/>
      </c>
      <c r="D89" s="11" t="str">
        <f ca="1">IFERROR(VLOOKUP(B89,'🚜 Araç Havuzu'!$A:$L,12,0),"")</f>
        <v/>
      </c>
      <c r="E89" s="47"/>
      <c r="F89" s="4"/>
      <c r="G89" s="47"/>
      <c r="H89" s="47"/>
      <c r="I89" s="12" t="str">
        <f t="shared" si="4"/>
        <v/>
      </c>
      <c r="J89" s="19"/>
      <c r="K89" s="19"/>
      <c r="L89" s="20" t="str">
        <f t="shared" si="5"/>
        <v/>
      </c>
      <c r="M89" s="6"/>
    </row>
    <row r="90" spans="1:13" ht="18" customHeight="1" x14ac:dyDescent="0.3">
      <c r="A90" s="9"/>
      <c r="B90" s="7"/>
      <c r="C90" s="15" t="str">
        <f ca="1">IFERROR(VLOOKUP(B90,'🚜 Araç Havuzu'!$A:$B,2,0),"")</f>
        <v/>
      </c>
      <c r="D90" s="15" t="str">
        <f ca="1">IFERROR(VLOOKUP(B90,'🚜 Araç Havuzu'!$A:$L,12,0),"")</f>
        <v/>
      </c>
      <c r="E90" s="48"/>
      <c r="F90" s="8"/>
      <c r="G90" s="48"/>
      <c r="H90" s="48"/>
      <c r="I90" s="16" t="str">
        <f t="shared" si="4"/>
        <v/>
      </c>
      <c r="J90" s="21"/>
      <c r="K90" s="21"/>
      <c r="L90" s="22" t="str">
        <f t="shared" si="5"/>
        <v/>
      </c>
      <c r="M90" s="10"/>
    </row>
    <row r="91" spans="1:13" ht="18" customHeight="1" x14ac:dyDescent="0.3">
      <c r="A91" s="5"/>
      <c r="B91" s="3"/>
      <c r="C91" s="11" t="str">
        <f ca="1">IFERROR(VLOOKUP(B91,'🚜 Araç Havuzu'!$A:$B,2,0),"")</f>
        <v/>
      </c>
      <c r="D91" s="11" t="str">
        <f ca="1">IFERROR(VLOOKUP(B91,'🚜 Araç Havuzu'!$A:$L,12,0),"")</f>
        <v/>
      </c>
      <c r="E91" s="47"/>
      <c r="F91" s="4"/>
      <c r="G91" s="47"/>
      <c r="H91" s="47"/>
      <c r="I91" s="12" t="str">
        <f t="shared" si="4"/>
        <v/>
      </c>
      <c r="J91" s="19"/>
      <c r="K91" s="19"/>
      <c r="L91" s="20" t="str">
        <f t="shared" si="5"/>
        <v/>
      </c>
      <c r="M91" s="6"/>
    </row>
    <row r="92" spans="1:13" ht="18" customHeight="1" x14ac:dyDescent="0.3">
      <c r="A92" s="9"/>
      <c r="B92" s="7"/>
      <c r="C92" s="15" t="str">
        <f ca="1">IFERROR(VLOOKUP(B92,'🚜 Araç Havuzu'!$A:$B,2,0),"")</f>
        <v/>
      </c>
      <c r="D92" s="15" t="str">
        <f ca="1">IFERROR(VLOOKUP(B92,'🚜 Araç Havuzu'!$A:$L,12,0),"")</f>
        <v/>
      </c>
      <c r="E92" s="48"/>
      <c r="F92" s="8"/>
      <c r="G92" s="48"/>
      <c r="H92" s="48"/>
      <c r="I92" s="16" t="str">
        <f t="shared" si="4"/>
        <v/>
      </c>
      <c r="J92" s="21"/>
      <c r="K92" s="21"/>
      <c r="L92" s="22" t="str">
        <f t="shared" si="5"/>
        <v/>
      </c>
      <c r="M92" s="10"/>
    </row>
    <row r="93" spans="1:13" ht="18" customHeight="1" x14ac:dyDescent="0.3">
      <c r="A93" s="5"/>
      <c r="B93" s="3"/>
      <c r="C93" s="11" t="str">
        <f ca="1">IFERROR(VLOOKUP(B93,'🚜 Araç Havuzu'!$A:$B,2,0),"")</f>
        <v/>
      </c>
      <c r="D93" s="11" t="str">
        <f ca="1">IFERROR(VLOOKUP(B93,'🚜 Araç Havuzu'!$A:$L,12,0),"")</f>
        <v/>
      </c>
      <c r="E93" s="47"/>
      <c r="F93" s="4"/>
      <c r="G93" s="47"/>
      <c r="H93" s="47"/>
      <c r="I93" s="12" t="str">
        <f t="shared" si="4"/>
        <v/>
      </c>
      <c r="J93" s="19"/>
      <c r="K93" s="19"/>
      <c r="L93" s="20" t="str">
        <f t="shared" si="5"/>
        <v/>
      </c>
      <c r="M93" s="6"/>
    </row>
    <row r="94" spans="1:13" ht="18" customHeight="1" x14ac:dyDescent="0.3">
      <c r="A94" s="9"/>
      <c r="B94" s="7"/>
      <c r="C94" s="15" t="str">
        <f ca="1">IFERROR(VLOOKUP(B94,'🚜 Araç Havuzu'!$A:$B,2,0),"")</f>
        <v/>
      </c>
      <c r="D94" s="15" t="str">
        <f ca="1">IFERROR(VLOOKUP(B94,'🚜 Araç Havuzu'!$A:$L,12,0),"")</f>
        <v/>
      </c>
      <c r="E94" s="48"/>
      <c r="F94" s="8"/>
      <c r="G94" s="48"/>
      <c r="H94" s="48"/>
      <c r="I94" s="16" t="str">
        <f t="shared" si="4"/>
        <v/>
      </c>
      <c r="J94" s="21"/>
      <c r="K94" s="21"/>
      <c r="L94" s="22" t="str">
        <f t="shared" si="5"/>
        <v/>
      </c>
      <c r="M94" s="10"/>
    </row>
    <row r="95" spans="1:13" ht="18" customHeight="1" x14ac:dyDescent="0.3">
      <c r="A95" s="5"/>
      <c r="B95" s="3"/>
      <c r="C95" s="11" t="str">
        <f ca="1">IFERROR(VLOOKUP(B95,'🚜 Araç Havuzu'!$A:$B,2,0),"")</f>
        <v/>
      </c>
      <c r="D95" s="11" t="str">
        <f ca="1">IFERROR(VLOOKUP(B95,'🚜 Araç Havuzu'!$A:$L,12,0),"")</f>
        <v/>
      </c>
      <c r="E95" s="47"/>
      <c r="F95" s="4"/>
      <c r="G95" s="47"/>
      <c r="H95" s="47"/>
      <c r="I95" s="12" t="str">
        <f t="shared" si="4"/>
        <v/>
      </c>
      <c r="J95" s="19"/>
      <c r="K95" s="19"/>
      <c r="L95" s="20" t="str">
        <f t="shared" si="5"/>
        <v/>
      </c>
      <c r="M95" s="6"/>
    </row>
    <row r="96" spans="1:13" ht="18" customHeight="1" x14ac:dyDescent="0.3">
      <c r="A96" s="9"/>
      <c r="B96" s="7"/>
      <c r="C96" s="15" t="str">
        <f ca="1">IFERROR(VLOOKUP(B96,'🚜 Araç Havuzu'!$A:$B,2,0),"")</f>
        <v/>
      </c>
      <c r="D96" s="15" t="str">
        <f ca="1">IFERROR(VLOOKUP(B96,'🚜 Araç Havuzu'!$A:$L,12,0),"")</f>
        <v/>
      </c>
      <c r="E96" s="48"/>
      <c r="F96" s="8"/>
      <c r="G96" s="48"/>
      <c r="H96" s="48"/>
      <c r="I96" s="16" t="str">
        <f t="shared" si="4"/>
        <v/>
      </c>
      <c r="J96" s="21"/>
      <c r="K96" s="21"/>
      <c r="L96" s="22" t="str">
        <f t="shared" si="5"/>
        <v/>
      </c>
      <c r="M96" s="10"/>
    </row>
    <row r="97" spans="1:13" ht="18" customHeight="1" x14ac:dyDescent="0.3">
      <c r="A97" s="5"/>
      <c r="B97" s="3"/>
      <c r="C97" s="11" t="str">
        <f ca="1">IFERROR(VLOOKUP(B97,'🚜 Araç Havuzu'!$A:$B,2,0),"")</f>
        <v/>
      </c>
      <c r="D97" s="11" t="str">
        <f ca="1">IFERROR(VLOOKUP(B97,'🚜 Araç Havuzu'!$A:$L,12,0),"")</f>
        <v/>
      </c>
      <c r="E97" s="47"/>
      <c r="F97" s="4"/>
      <c r="G97" s="47"/>
      <c r="H97" s="47"/>
      <c r="I97" s="12" t="str">
        <f t="shared" si="4"/>
        <v/>
      </c>
      <c r="J97" s="19"/>
      <c r="K97" s="19"/>
      <c r="L97" s="20" t="str">
        <f t="shared" si="5"/>
        <v/>
      </c>
      <c r="M97" s="6"/>
    </row>
    <row r="98" spans="1:13" ht="18" customHeight="1" x14ac:dyDescent="0.3">
      <c r="A98" s="9"/>
      <c r="B98" s="7"/>
      <c r="C98" s="15" t="str">
        <f ca="1">IFERROR(VLOOKUP(B98,'🚜 Araç Havuzu'!$A:$B,2,0),"")</f>
        <v/>
      </c>
      <c r="D98" s="15" t="str">
        <f ca="1">IFERROR(VLOOKUP(B98,'🚜 Araç Havuzu'!$A:$L,12,0),"")</f>
        <v/>
      </c>
      <c r="E98" s="48"/>
      <c r="F98" s="8"/>
      <c r="G98" s="48"/>
      <c r="H98" s="48"/>
      <c r="I98" s="16" t="str">
        <f t="shared" si="4"/>
        <v/>
      </c>
      <c r="J98" s="21"/>
      <c r="K98" s="21"/>
      <c r="L98" s="22" t="str">
        <f t="shared" si="5"/>
        <v/>
      </c>
      <c r="M98" s="10"/>
    </row>
    <row r="99" spans="1:13" ht="18" customHeight="1" x14ac:dyDescent="0.3">
      <c r="A99" s="5"/>
      <c r="B99" s="3"/>
      <c r="C99" s="11" t="str">
        <f ca="1">IFERROR(VLOOKUP(B99,'🚜 Araç Havuzu'!$A:$B,2,0),"")</f>
        <v/>
      </c>
      <c r="D99" s="11" t="str">
        <f ca="1">IFERROR(VLOOKUP(B99,'🚜 Araç Havuzu'!$A:$L,12,0),"")</f>
        <v/>
      </c>
      <c r="E99" s="47"/>
      <c r="F99" s="4"/>
      <c r="G99" s="47"/>
      <c r="H99" s="47"/>
      <c r="I99" s="12" t="str">
        <f t="shared" si="4"/>
        <v/>
      </c>
      <c r="J99" s="19"/>
      <c r="K99" s="19"/>
      <c r="L99" s="20" t="str">
        <f t="shared" si="5"/>
        <v/>
      </c>
      <c r="M99" s="6"/>
    </row>
    <row r="100" spans="1:13" ht="18" customHeight="1" x14ac:dyDescent="0.3">
      <c r="A100" s="9"/>
      <c r="B100" s="7"/>
      <c r="C100" s="15" t="str">
        <f ca="1">IFERROR(VLOOKUP(B100,'🚜 Araç Havuzu'!$A:$B,2,0),"")</f>
        <v/>
      </c>
      <c r="D100" s="15" t="str">
        <f ca="1">IFERROR(VLOOKUP(B100,'🚜 Araç Havuzu'!$A:$L,12,0),"")</f>
        <v/>
      </c>
      <c r="E100" s="48"/>
      <c r="F100" s="8"/>
      <c r="G100" s="48"/>
      <c r="H100" s="48"/>
      <c r="I100" s="16" t="str">
        <f t="shared" si="4"/>
        <v/>
      </c>
      <c r="J100" s="21"/>
      <c r="K100" s="21"/>
      <c r="L100" s="22" t="str">
        <f t="shared" si="5"/>
        <v/>
      </c>
      <c r="M100" s="10"/>
    </row>
    <row r="101" spans="1:13" ht="18" customHeight="1" x14ac:dyDescent="0.3">
      <c r="A101" s="5"/>
      <c r="B101" s="3"/>
      <c r="C101" s="11" t="str">
        <f ca="1">IFERROR(VLOOKUP(B101,'🚜 Araç Havuzu'!$A:$B,2,0),"")</f>
        <v/>
      </c>
      <c r="D101" s="11" t="str">
        <f ca="1">IFERROR(VLOOKUP(B101,'🚜 Araç Havuzu'!$A:$L,12,0),"")</f>
        <v/>
      </c>
      <c r="E101" s="47"/>
      <c r="F101" s="4"/>
      <c r="G101" s="47"/>
      <c r="H101" s="47"/>
      <c r="I101" s="12" t="str">
        <f t="shared" ref="I101:I104" si="6">IFERROR(IF(AND(E101&lt;&gt;"",H101&lt;&gt;""),MOD(TIMEVALUE(H101)-TIMEVALUE(E101),1)*24,""),"")</f>
        <v/>
      </c>
      <c r="J101" s="19"/>
      <c r="K101" s="19"/>
      <c r="L101" s="20" t="str">
        <f t="shared" ref="L101:L104" si="7">IF(AND(J101&lt;&gt;"",K101&lt;&gt;""),K101-J101,"")</f>
        <v/>
      </c>
      <c r="M101" s="6"/>
    </row>
    <row r="102" spans="1:13" ht="18" customHeight="1" x14ac:dyDescent="0.3">
      <c r="A102" s="9"/>
      <c r="B102" s="7"/>
      <c r="C102" s="15" t="str">
        <f ca="1">IFERROR(VLOOKUP(B102,'🚜 Araç Havuzu'!$A:$B,2,0),"")</f>
        <v/>
      </c>
      <c r="D102" s="15" t="str">
        <f ca="1">IFERROR(VLOOKUP(B102,'🚜 Araç Havuzu'!$A:$L,12,0),"")</f>
        <v/>
      </c>
      <c r="E102" s="48"/>
      <c r="F102" s="8"/>
      <c r="G102" s="48"/>
      <c r="H102" s="48"/>
      <c r="I102" s="16" t="str">
        <f t="shared" si="6"/>
        <v/>
      </c>
      <c r="J102" s="21"/>
      <c r="K102" s="21"/>
      <c r="L102" s="22" t="str">
        <f t="shared" si="7"/>
        <v/>
      </c>
      <c r="M102" s="10"/>
    </row>
    <row r="103" spans="1:13" ht="18" customHeight="1" x14ac:dyDescent="0.3">
      <c r="A103" s="5"/>
      <c r="B103" s="3"/>
      <c r="C103" s="11" t="str">
        <f ca="1">IFERROR(VLOOKUP(B103,'🚜 Araç Havuzu'!$A:$B,2,0),"")</f>
        <v/>
      </c>
      <c r="D103" s="11" t="str">
        <f ca="1">IFERROR(VLOOKUP(B103,'🚜 Araç Havuzu'!$A:$L,12,0),"")</f>
        <v/>
      </c>
      <c r="E103" s="47"/>
      <c r="F103" s="4"/>
      <c r="G103" s="47"/>
      <c r="H103" s="47"/>
      <c r="I103" s="12" t="str">
        <f t="shared" si="6"/>
        <v/>
      </c>
      <c r="J103" s="19"/>
      <c r="K103" s="19"/>
      <c r="L103" s="20" t="str">
        <f t="shared" si="7"/>
        <v/>
      </c>
      <c r="M103" s="6"/>
    </row>
    <row r="104" spans="1:13" ht="18" customHeight="1" x14ac:dyDescent="0.3">
      <c r="A104" s="9"/>
      <c r="B104" s="7"/>
      <c r="C104" s="15" t="str">
        <f ca="1">IFERROR(VLOOKUP(B104,'🚜 Araç Havuzu'!$A:$B,2,0),"")</f>
        <v/>
      </c>
      <c r="D104" s="15" t="str">
        <f ca="1">IFERROR(VLOOKUP(B104,'🚜 Araç Havuzu'!$A:$L,12,0),"")</f>
        <v/>
      </c>
      <c r="E104" s="48"/>
      <c r="F104" s="8"/>
      <c r="G104" s="48"/>
      <c r="H104" s="48"/>
      <c r="I104" s="16" t="str">
        <f t="shared" si="6"/>
        <v/>
      </c>
      <c r="J104" s="21"/>
      <c r="K104" s="21"/>
      <c r="L104" s="22" t="str">
        <f t="shared" si="7"/>
        <v/>
      </c>
      <c r="M104" s="10"/>
    </row>
  </sheetData>
  <mergeCells count="3">
    <mergeCell ref="A1:M1"/>
    <mergeCell ref="A2:M2"/>
    <mergeCell ref="A3:D3"/>
  </mergeCells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'🚜 Araç Havuzu'!$A$5:$A$500</xm:f>
          </x14:formula1>
          <x14:formula2>
            <xm:f>0</xm:f>
          </x14:formula2>
          <xm:sqref>B5:B300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</sheetPr>
  <dimension ref="A1:Z16"/>
  <sheetViews>
    <sheetView showGridLines="0" topLeftCell="A4" zoomScale="55" zoomScaleNormal="55" workbookViewId="0">
      <selection activeCell="E24" sqref="E24"/>
    </sheetView>
  </sheetViews>
  <sheetFormatPr defaultColWidth="8.6640625" defaultRowHeight="14.4" x14ac:dyDescent="0.3"/>
  <cols>
    <col min="1" max="1" width="34" style="1" customWidth="1"/>
    <col min="2" max="5" width="14" style="1" customWidth="1"/>
    <col min="6" max="6" width="11" style="1" customWidth="1"/>
    <col min="7" max="7" width="15" style="1" customWidth="1"/>
    <col min="9" max="9" width="26" style="1" customWidth="1"/>
    <col min="10" max="10" width="14" style="1" customWidth="1"/>
    <col min="11" max="11" width="15" style="1" customWidth="1"/>
    <col min="12" max="12" width="14" style="1" customWidth="1"/>
    <col min="14" max="14" width="28" customWidth="1"/>
    <col min="15" max="18" width="14" customWidth="1"/>
    <col min="20" max="20" width="24" customWidth="1"/>
    <col min="21" max="21" width="12" customWidth="1"/>
    <col min="22" max="22" width="14" customWidth="1"/>
    <col min="23" max="23" width="12" customWidth="1"/>
    <col min="25" max="25" width="18" customWidth="1"/>
    <col min="26" max="26" width="12" customWidth="1"/>
  </cols>
  <sheetData>
    <row r="1" spans="1:26" ht="84" customHeight="1" x14ac:dyDescent="0.3">
      <c r="A1" s="57" t="s">
        <v>49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</row>
    <row r="2" spans="1:26" ht="18" customHeight="1" x14ac:dyDescent="0.3">
      <c r="A2" s="58" t="s">
        <v>50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26" ht="15.75" customHeight="1" x14ac:dyDescent="0.3">
      <c r="A3" s="56">
        <f ca="1">TODAY()</f>
        <v>46216</v>
      </c>
      <c r="B3" s="56"/>
      <c r="C3" s="56"/>
      <c r="D3" s="56"/>
    </row>
    <row r="4" spans="1:26" ht="33.75" customHeight="1" x14ac:dyDescent="0.3">
      <c r="A4" s="2" t="s">
        <v>51</v>
      </c>
      <c r="B4" s="2" t="s">
        <v>16</v>
      </c>
      <c r="C4" s="2" t="s">
        <v>52</v>
      </c>
      <c r="D4" s="2" t="s">
        <v>53</v>
      </c>
      <c r="E4" s="2" t="s">
        <v>54</v>
      </c>
      <c r="F4" s="2" t="s">
        <v>55</v>
      </c>
      <c r="G4" s="2" t="s">
        <v>56</v>
      </c>
      <c r="I4" s="59" t="s">
        <v>57</v>
      </c>
      <c r="J4" s="59"/>
      <c r="K4" s="59"/>
      <c r="L4" s="59"/>
      <c r="N4" s="23" t="s">
        <v>58</v>
      </c>
      <c r="O4" s="23" t="s">
        <v>59</v>
      </c>
      <c r="P4" s="23" t="s">
        <v>60</v>
      </c>
      <c r="Q4" s="23" t="s">
        <v>61</v>
      </c>
      <c r="R4" s="23" t="s">
        <v>62</v>
      </c>
      <c r="T4" s="23" t="s">
        <v>63</v>
      </c>
      <c r="U4" s="23" t="s">
        <v>64</v>
      </c>
      <c r="V4" s="23" t="s">
        <v>62</v>
      </c>
      <c r="W4" s="23" t="s">
        <v>65</v>
      </c>
      <c r="Y4" s="23" t="s">
        <v>66</v>
      </c>
      <c r="Z4" s="23" t="s">
        <v>67</v>
      </c>
    </row>
    <row r="5" spans="1:26" ht="21.75" customHeight="1" x14ac:dyDescent="0.3">
      <c r="A5" s="24" t="s">
        <v>68</v>
      </c>
      <c r="B5" s="25">
        <f>COUNTIF('📋 Görev Formu'!E:E,A5)</f>
        <v>0</v>
      </c>
      <c r="C5" s="25">
        <f>COUNTIFS('📋 Görev Formu'!E:E,A5,'📋 Görev Formu'!P:P,"✅ Tamamlandı")</f>
        <v>0</v>
      </c>
      <c r="D5" s="25">
        <f>COUNTIFS('📋 Görev Formu'!E:E,A5,'📋 Görev Formu'!P:P,"🔄 Devam Ediyor")</f>
        <v>0</v>
      </c>
      <c r="E5" s="25">
        <f>COUNTIFS('📋 Görev Formu'!E:E,A5,'📋 Görev Formu'!P:P,"⏳ Planlandı")</f>
        <v>0</v>
      </c>
      <c r="F5" s="25">
        <f>COUNTIFS('📋 Görev Formu'!E:E,A5,'📋 Görev Formu'!P:P,"❌ İptal Edildi")</f>
        <v>0</v>
      </c>
      <c r="G5" s="26">
        <f>IFERROR(SUMIFS('📋 Görev Formu'!L:L,'📋 Görev Formu'!E:E,A5),0)</f>
        <v>0</v>
      </c>
      <c r="I5" s="27" t="s">
        <v>63</v>
      </c>
      <c r="J5" s="27" t="s">
        <v>64</v>
      </c>
      <c r="K5" s="27" t="s">
        <v>69</v>
      </c>
      <c r="L5" s="27" t="s">
        <v>70</v>
      </c>
      <c r="N5" s="50" t="s">
        <v>71</v>
      </c>
      <c r="O5" s="28">
        <f t="shared" ref="O5:Q12" si="0">B5</f>
        <v>0</v>
      </c>
      <c r="P5" s="28">
        <f t="shared" si="0"/>
        <v>0</v>
      </c>
      <c r="Q5" s="28">
        <f t="shared" si="0"/>
        <v>0</v>
      </c>
      <c r="R5" s="28">
        <f t="shared" ref="R5:R12" si="1">G5</f>
        <v>0</v>
      </c>
      <c r="T5" s="49" t="str">
        <f t="shared" ref="T5:W12" si="2">I6</f>
        <v>Loder</v>
      </c>
      <c r="U5" s="28">
        <f t="shared" ca="1" si="2"/>
        <v>0</v>
      </c>
      <c r="V5" s="28">
        <f t="shared" ca="1" si="2"/>
        <v>0</v>
      </c>
      <c r="W5" s="28">
        <f t="shared" si="2"/>
        <v>0</v>
      </c>
      <c r="Y5" s="51" t="s">
        <v>72</v>
      </c>
      <c r="Z5" s="29">
        <f>COUNTIF('📋 Görev Formu'!P:P,"✅ Tamamlandı")</f>
        <v>0</v>
      </c>
    </row>
    <row r="6" spans="1:26" ht="18" customHeight="1" x14ac:dyDescent="0.3">
      <c r="A6" s="30" t="s">
        <v>73</v>
      </c>
      <c r="B6" s="31">
        <f>COUNTIF('📋 Görev Formu'!E:E,A6)</f>
        <v>0</v>
      </c>
      <c r="C6" s="31">
        <f>COUNTIFS('📋 Görev Formu'!E:E,A6,'📋 Görev Formu'!P:P,"✅ Tamamlandı")</f>
        <v>0</v>
      </c>
      <c r="D6" s="31">
        <f>COUNTIFS('📋 Görev Formu'!E:E,A6,'📋 Görev Formu'!P:P,"🔄 Devam Ediyor")</f>
        <v>0</v>
      </c>
      <c r="E6" s="31">
        <f>COUNTIFS('📋 Görev Formu'!E:E,A6,'📋 Görev Formu'!P:P,"⏳ Planlandı")</f>
        <v>0</v>
      </c>
      <c r="F6" s="31">
        <f>COUNTIFS('📋 Görev Formu'!E:E,A6,'📋 Görev Formu'!P:P,"❌ İptal Edildi")</f>
        <v>0</v>
      </c>
      <c r="G6" s="32">
        <f>IFERROR(SUMIFS('📋 Görev Formu'!L:L,'📋 Görev Formu'!E:E,A6),0)</f>
        <v>0</v>
      </c>
      <c r="I6" s="33" t="s">
        <v>74</v>
      </c>
      <c r="J6" s="21">
        <f ca="1">COUNTIF('📋 Görev Formu'!D:D,I6)</f>
        <v>0</v>
      </c>
      <c r="K6" s="34">
        <f ca="1">IFERROR(SUMIF('📋 Görev Formu'!D:D,I6,'📋 Görev Formu'!L:L),0)</f>
        <v>0</v>
      </c>
      <c r="L6" s="21">
        <f>COUNTIF('🚜 Araç Havuzu'!B:B,I6)</f>
        <v>0</v>
      </c>
      <c r="N6" s="50" t="s">
        <v>75</v>
      </c>
      <c r="O6" s="29">
        <f t="shared" si="0"/>
        <v>0</v>
      </c>
      <c r="P6" s="29">
        <f t="shared" si="0"/>
        <v>0</v>
      </c>
      <c r="Q6" s="29">
        <f t="shared" si="0"/>
        <v>0</v>
      </c>
      <c r="R6" s="29">
        <f t="shared" si="1"/>
        <v>0</v>
      </c>
      <c r="T6" s="49" t="str">
        <f t="shared" si="2"/>
        <v>Ekskavatör</v>
      </c>
      <c r="U6" s="29">
        <f t="shared" ca="1" si="2"/>
        <v>0</v>
      </c>
      <c r="V6" s="29">
        <f t="shared" ca="1" si="2"/>
        <v>0</v>
      </c>
      <c r="W6" s="29">
        <f t="shared" si="2"/>
        <v>0</v>
      </c>
      <c r="Y6" s="51" t="s">
        <v>76</v>
      </c>
      <c r="Z6" s="28">
        <f>COUNTIF('📋 Görev Formu'!P:P,"🔄 Devam Ediyor")</f>
        <v>0</v>
      </c>
    </row>
    <row r="7" spans="1:26" ht="18" customHeight="1" x14ac:dyDescent="0.3">
      <c r="A7" s="35" t="s">
        <v>77</v>
      </c>
      <c r="B7" s="25">
        <f>COUNTIF('📋 Görev Formu'!E:E,A7)</f>
        <v>0</v>
      </c>
      <c r="C7" s="25">
        <f>COUNTIFS('📋 Görev Formu'!E:E,A7,'📋 Görev Formu'!P:P,"✅ Tamamlandı")</f>
        <v>0</v>
      </c>
      <c r="D7" s="25">
        <f>COUNTIFS('📋 Görev Formu'!E:E,A7,'📋 Görev Formu'!P:P,"🔄 Devam Ediyor")</f>
        <v>0</v>
      </c>
      <c r="E7" s="25">
        <f>COUNTIFS('📋 Görev Formu'!E:E,A7,'📋 Görev Formu'!P:P,"⏳ Planlandı")</f>
        <v>0</v>
      </c>
      <c r="F7" s="25">
        <f>COUNTIFS('📋 Görev Formu'!E:E,A7,'📋 Görev Formu'!P:P,"❌ İptal Edildi")</f>
        <v>0</v>
      </c>
      <c r="G7" s="26">
        <f>IFERROR(SUMIFS('📋 Görev Formu'!L:L,'📋 Görev Formu'!E:E,A7),0)</f>
        <v>0</v>
      </c>
      <c r="I7" s="36" t="s">
        <v>78</v>
      </c>
      <c r="J7" s="19">
        <f ca="1">COUNTIF('📋 Görev Formu'!D:D,I7)</f>
        <v>0</v>
      </c>
      <c r="K7" s="37">
        <f ca="1">IFERROR(SUMIF('📋 Görev Formu'!D:D,I7,'📋 Görev Formu'!L:L),0)</f>
        <v>0</v>
      </c>
      <c r="L7" s="19">
        <f>COUNTIF('🚜 Araç Havuzu'!B:B,I7)</f>
        <v>0</v>
      </c>
      <c r="N7" s="50" t="s">
        <v>79</v>
      </c>
      <c r="O7" s="28">
        <f t="shared" si="0"/>
        <v>0</v>
      </c>
      <c r="P7" s="28">
        <f t="shared" si="0"/>
        <v>0</v>
      </c>
      <c r="Q7" s="28">
        <f t="shared" si="0"/>
        <v>0</v>
      </c>
      <c r="R7" s="28">
        <f t="shared" si="1"/>
        <v>0</v>
      </c>
      <c r="T7" s="49" t="str">
        <f t="shared" si="2"/>
        <v>JCB</v>
      </c>
      <c r="U7" s="28">
        <f t="shared" ca="1" si="2"/>
        <v>0</v>
      </c>
      <c r="V7" s="28">
        <f t="shared" ca="1" si="2"/>
        <v>0</v>
      </c>
      <c r="W7" s="28">
        <f t="shared" si="2"/>
        <v>0</v>
      </c>
      <c r="Y7" s="51" t="s">
        <v>80</v>
      </c>
      <c r="Z7" s="29">
        <f>COUNTIF('📋 Görev Formu'!P:P,"⏳ Planlandı")</f>
        <v>0</v>
      </c>
    </row>
    <row r="8" spans="1:26" ht="18" customHeight="1" x14ac:dyDescent="0.3">
      <c r="A8" s="38" t="s">
        <v>81</v>
      </c>
      <c r="B8" s="31">
        <f>COUNTIF('📋 Görev Formu'!E:E,A8)</f>
        <v>0</v>
      </c>
      <c r="C8" s="31">
        <f>COUNTIFS('📋 Görev Formu'!E:E,A8,'📋 Görev Formu'!P:P,"✅ Tamamlandı")</f>
        <v>0</v>
      </c>
      <c r="D8" s="31">
        <f>COUNTIFS('📋 Görev Formu'!E:E,A8,'📋 Görev Formu'!P:P,"🔄 Devam Ediyor")</f>
        <v>0</v>
      </c>
      <c r="E8" s="31">
        <f>COUNTIFS('📋 Görev Formu'!E:E,A8,'📋 Görev Formu'!P:P,"⏳ Planlandı")</f>
        <v>0</v>
      </c>
      <c r="F8" s="31">
        <f>COUNTIFS('📋 Görev Formu'!E:E,A8,'📋 Görev Formu'!P:P,"❌ İptal Edildi")</f>
        <v>0</v>
      </c>
      <c r="G8" s="32">
        <f>IFERROR(SUMIFS('📋 Görev Formu'!L:L,'📋 Görev Formu'!E:E,A8),0)</f>
        <v>0</v>
      </c>
      <c r="I8" s="33" t="s">
        <v>82</v>
      </c>
      <c r="J8" s="21">
        <f ca="1">COUNTIF('📋 Görev Formu'!D:D,I8)</f>
        <v>0</v>
      </c>
      <c r="K8" s="34">
        <f ca="1">IFERROR(SUMIF('📋 Görev Formu'!D:D,I8,'📋 Görev Formu'!L:L),0)</f>
        <v>0</v>
      </c>
      <c r="L8" s="21">
        <f>COUNTIF('🚜 Araç Havuzu'!B:B,I8)</f>
        <v>0</v>
      </c>
      <c r="N8" s="50" t="s">
        <v>83</v>
      </c>
      <c r="O8" s="29">
        <f t="shared" si="0"/>
        <v>0</v>
      </c>
      <c r="P8" s="29">
        <f t="shared" si="0"/>
        <v>0</v>
      </c>
      <c r="Q8" s="29">
        <f t="shared" si="0"/>
        <v>0</v>
      </c>
      <c r="R8" s="29">
        <f t="shared" si="1"/>
        <v>0</v>
      </c>
      <c r="T8" s="49" t="str">
        <f t="shared" si="2"/>
        <v>Kamyon</v>
      </c>
      <c r="U8" s="29">
        <f t="shared" ca="1" si="2"/>
        <v>0</v>
      </c>
      <c r="V8" s="29">
        <f t="shared" ca="1" si="2"/>
        <v>0</v>
      </c>
      <c r="W8" s="29">
        <f t="shared" si="2"/>
        <v>0</v>
      </c>
      <c r="Y8" s="51" t="s">
        <v>84</v>
      </c>
      <c r="Z8" s="28">
        <f>COUNTIF('📋 Görev Formu'!P:P,"❌ İptal Edildi")</f>
        <v>0</v>
      </c>
    </row>
    <row r="9" spans="1:26" ht="18" customHeight="1" x14ac:dyDescent="0.3">
      <c r="A9" s="39" t="s">
        <v>85</v>
      </c>
      <c r="B9" s="25">
        <f>COUNTIF('📋 Görev Formu'!E:E,A9)</f>
        <v>0</v>
      </c>
      <c r="C9" s="25">
        <f>COUNTIFS('📋 Görev Formu'!E:E,A9,'📋 Görev Formu'!P:P,"✅ Tamamlandı")</f>
        <v>0</v>
      </c>
      <c r="D9" s="25">
        <f>COUNTIFS('📋 Görev Formu'!E:E,A9,'📋 Görev Formu'!P:P,"🔄 Devam Ediyor")</f>
        <v>0</v>
      </c>
      <c r="E9" s="25">
        <f>COUNTIFS('📋 Görev Formu'!E:E,A9,'📋 Görev Formu'!P:P,"⏳ Planlandı")</f>
        <v>0</v>
      </c>
      <c r="F9" s="25">
        <f>COUNTIFS('📋 Görev Formu'!E:E,A9,'📋 Görev Formu'!P:P,"❌ İptal Edildi")</f>
        <v>0</v>
      </c>
      <c r="G9" s="26">
        <f>IFERROR(SUMIFS('📋 Görev Formu'!L:L,'📋 Görev Formu'!E:E,A9),0)</f>
        <v>0</v>
      </c>
      <c r="I9" s="36" t="s">
        <v>86</v>
      </c>
      <c r="J9" s="19">
        <f ca="1">COUNTIF('📋 Görev Formu'!D:D,I9)</f>
        <v>0</v>
      </c>
      <c r="K9" s="37">
        <f ca="1">IFERROR(SUMIF('📋 Görev Formu'!D:D,I9,'📋 Görev Formu'!L:L),0)</f>
        <v>0</v>
      </c>
      <c r="L9" s="19">
        <f>COUNTIF('🚜 Araç Havuzu'!B:B,I9)</f>
        <v>0</v>
      </c>
      <c r="N9" s="50" t="s">
        <v>87</v>
      </c>
      <c r="O9" s="28">
        <f t="shared" si="0"/>
        <v>0</v>
      </c>
      <c r="P9" s="28">
        <f t="shared" si="0"/>
        <v>0</v>
      </c>
      <c r="Q9" s="28">
        <f t="shared" si="0"/>
        <v>0</v>
      </c>
      <c r="R9" s="28">
        <f t="shared" si="1"/>
        <v>0</v>
      </c>
      <c r="T9" s="49" t="str">
        <f t="shared" si="2"/>
        <v>Transit</v>
      </c>
      <c r="U9" s="28">
        <f t="shared" ca="1" si="2"/>
        <v>0</v>
      </c>
      <c r="V9" s="28">
        <f t="shared" ca="1" si="2"/>
        <v>0</v>
      </c>
      <c r="W9" s="28">
        <f t="shared" si="2"/>
        <v>0</v>
      </c>
    </row>
    <row r="10" spans="1:26" ht="18" customHeight="1" x14ac:dyDescent="0.3">
      <c r="A10" s="40" t="s">
        <v>88</v>
      </c>
      <c r="B10" s="31">
        <f>COUNTIF('📋 Görev Formu'!E:E,A10)</f>
        <v>0</v>
      </c>
      <c r="C10" s="31">
        <f>COUNTIFS('📋 Görev Formu'!E:E,A10,'📋 Görev Formu'!P:P,"✅ Tamamlandı")</f>
        <v>0</v>
      </c>
      <c r="D10" s="31">
        <f>COUNTIFS('📋 Görev Formu'!E:E,A10,'📋 Görev Formu'!P:P,"🔄 Devam Ediyor")</f>
        <v>0</v>
      </c>
      <c r="E10" s="31">
        <f>COUNTIFS('📋 Görev Formu'!E:E,A10,'📋 Görev Formu'!P:P,"⏳ Planlandı")</f>
        <v>0</v>
      </c>
      <c r="F10" s="31">
        <f>COUNTIFS('📋 Görev Formu'!E:E,A10,'📋 Görev Formu'!P:P,"❌ İptal Edildi")</f>
        <v>0</v>
      </c>
      <c r="G10" s="32">
        <f>IFERROR(SUMIFS('📋 Görev Formu'!L:L,'📋 Görev Formu'!E:E,A10),0)</f>
        <v>0</v>
      </c>
      <c r="I10" s="33" t="s">
        <v>89</v>
      </c>
      <c r="J10" s="21">
        <f ca="1">COUNTIF('📋 Görev Formu'!D:D,I10)</f>
        <v>0</v>
      </c>
      <c r="K10" s="34">
        <f ca="1">IFERROR(SUMIF('📋 Görev Formu'!D:D,I10,'📋 Görev Formu'!L:L),0)</f>
        <v>0</v>
      </c>
      <c r="L10" s="21">
        <f>COUNTIF('🚜 Araç Havuzu'!B:B,I10)</f>
        <v>0</v>
      </c>
      <c r="N10" s="50" t="s">
        <v>90</v>
      </c>
      <c r="O10" s="29">
        <f t="shared" si="0"/>
        <v>0</v>
      </c>
      <c r="P10" s="29">
        <f t="shared" si="0"/>
        <v>0</v>
      </c>
      <c r="Q10" s="29">
        <f t="shared" si="0"/>
        <v>0</v>
      </c>
      <c r="R10" s="29">
        <f t="shared" si="1"/>
        <v>0</v>
      </c>
      <c r="T10" s="49" t="str">
        <f t="shared" si="2"/>
        <v>Lowbet</v>
      </c>
      <c r="U10" s="29">
        <f t="shared" ca="1" si="2"/>
        <v>0</v>
      </c>
      <c r="V10" s="29">
        <f t="shared" ca="1" si="2"/>
        <v>0</v>
      </c>
      <c r="W10" s="29">
        <f t="shared" si="2"/>
        <v>0</v>
      </c>
    </row>
    <row r="11" spans="1:26" ht="18" customHeight="1" x14ac:dyDescent="0.3">
      <c r="A11" s="41" t="s">
        <v>91</v>
      </c>
      <c r="B11" s="25">
        <f>COUNTIF('📋 Görev Formu'!E:E,A11)</f>
        <v>0</v>
      </c>
      <c r="C11" s="25">
        <f>COUNTIFS('📋 Görev Formu'!E:E,A11,'📋 Görev Formu'!P:P,"✅ Tamamlandı")</f>
        <v>0</v>
      </c>
      <c r="D11" s="25">
        <f>COUNTIFS('📋 Görev Formu'!E:E,A11,'📋 Görev Formu'!P:P,"🔄 Devam Ediyor")</f>
        <v>0</v>
      </c>
      <c r="E11" s="25">
        <f>COUNTIFS('📋 Görev Formu'!E:E,A11,'📋 Görev Formu'!P:P,"⏳ Planlandı")</f>
        <v>0</v>
      </c>
      <c r="F11" s="25">
        <f>COUNTIFS('📋 Görev Formu'!E:E,A11,'📋 Görev Formu'!P:P,"❌ İptal Edildi")</f>
        <v>0</v>
      </c>
      <c r="G11" s="26">
        <f>IFERROR(SUMIFS('📋 Görev Formu'!L:L,'📋 Görev Formu'!E:E,A11),0)</f>
        <v>0</v>
      </c>
      <c r="I11" s="36" t="s">
        <v>92</v>
      </c>
      <c r="J11" s="19">
        <f ca="1">COUNTIF('📋 Görev Formu'!D:D,I11)</f>
        <v>0</v>
      </c>
      <c r="K11" s="37">
        <f ca="1">IFERROR(SUMIF('📋 Görev Formu'!D:D,I11,'📋 Görev Formu'!L:L),0)</f>
        <v>0</v>
      </c>
      <c r="L11" s="19">
        <f>COUNTIF('🚜 Araç Havuzu'!B:B,I11)</f>
        <v>0</v>
      </c>
      <c r="N11" s="50" t="s">
        <v>93</v>
      </c>
      <c r="O11" s="28">
        <f t="shared" si="0"/>
        <v>0</v>
      </c>
      <c r="P11" s="28">
        <f t="shared" si="0"/>
        <v>0</v>
      </c>
      <c r="Q11" s="28">
        <f t="shared" si="0"/>
        <v>0</v>
      </c>
      <c r="R11" s="28">
        <f t="shared" si="1"/>
        <v>0</v>
      </c>
      <c r="T11" s="49" t="str">
        <f t="shared" si="2"/>
        <v>Vidanjör</v>
      </c>
      <c r="U11" s="28">
        <f t="shared" ca="1" si="2"/>
        <v>0</v>
      </c>
      <c r="V11" s="28">
        <f t="shared" ca="1" si="2"/>
        <v>0</v>
      </c>
      <c r="W11" s="28">
        <f t="shared" si="2"/>
        <v>0</v>
      </c>
    </row>
    <row r="12" spans="1:26" ht="18" customHeight="1" x14ac:dyDescent="0.3">
      <c r="A12" s="42" t="s">
        <v>94</v>
      </c>
      <c r="B12" s="31">
        <f>COUNTIF('📋 Görev Formu'!E:E,A12)</f>
        <v>0</v>
      </c>
      <c r="C12" s="31">
        <f>COUNTIFS('📋 Görev Formu'!E:E,A12,'📋 Görev Formu'!P:P,"✅ Tamamlandı")</f>
        <v>0</v>
      </c>
      <c r="D12" s="31">
        <f>COUNTIFS('📋 Görev Formu'!E:E,A12,'📋 Görev Formu'!P:P,"🔄 Devam Ediyor")</f>
        <v>0</v>
      </c>
      <c r="E12" s="31">
        <f>COUNTIFS('📋 Görev Formu'!E:E,A12,'📋 Görev Formu'!P:P,"⏳ Planlandı")</f>
        <v>0</v>
      </c>
      <c r="F12" s="31">
        <f>COUNTIFS('📋 Görev Formu'!E:E,A12,'📋 Görev Formu'!P:P,"❌ İptal Edildi")</f>
        <v>0</v>
      </c>
      <c r="G12" s="32">
        <f>IFERROR(SUMIFS('📋 Görev Formu'!L:L,'📋 Görev Formu'!E:E,A12),0)</f>
        <v>0</v>
      </c>
      <c r="I12" s="33" t="s">
        <v>95</v>
      </c>
      <c r="J12" s="21">
        <f ca="1">COUNTIF('📋 Görev Formu'!D:D,I12)</f>
        <v>0</v>
      </c>
      <c r="K12" s="34">
        <f ca="1">IFERROR(SUMIF('📋 Görev Formu'!D:D,I12,'📋 Görev Formu'!L:L),0)</f>
        <v>0</v>
      </c>
      <c r="L12" s="21">
        <f>COUNTIF('🚜 Araç Havuzu'!B:B,I12)</f>
        <v>0</v>
      </c>
      <c r="N12" s="50" t="s">
        <v>94</v>
      </c>
      <c r="O12" s="29">
        <f t="shared" si="0"/>
        <v>0</v>
      </c>
      <c r="P12" s="29">
        <f t="shared" si="0"/>
        <v>0</v>
      </c>
      <c r="Q12" s="29">
        <f t="shared" si="0"/>
        <v>0</v>
      </c>
      <c r="R12" s="29">
        <f t="shared" si="1"/>
        <v>0</v>
      </c>
      <c r="T12" s="49" t="str">
        <f t="shared" si="2"/>
        <v>Oto Karasfalt Finişeri</v>
      </c>
      <c r="U12" s="29">
        <f t="shared" ca="1" si="2"/>
        <v>0</v>
      </c>
      <c r="V12" s="29">
        <f t="shared" ca="1" si="2"/>
        <v>0</v>
      </c>
      <c r="W12" s="29">
        <f t="shared" si="2"/>
        <v>0</v>
      </c>
    </row>
    <row r="13" spans="1:26" ht="18" customHeight="1" x14ac:dyDescent="0.3">
      <c r="A13" s="43" t="s">
        <v>96</v>
      </c>
      <c r="B13" s="44">
        <f t="shared" ref="B13:G13" si="3">SUM(B5:B12)</f>
        <v>0</v>
      </c>
      <c r="C13" s="44">
        <f t="shared" si="3"/>
        <v>0</v>
      </c>
      <c r="D13" s="44">
        <f t="shared" si="3"/>
        <v>0</v>
      </c>
      <c r="E13" s="44">
        <f t="shared" si="3"/>
        <v>0</v>
      </c>
      <c r="F13" s="44">
        <f t="shared" si="3"/>
        <v>0</v>
      </c>
      <c r="G13" s="45">
        <f t="shared" si="3"/>
        <v>0</v>
      </c>
      <c r="I13" s="36" t="s">
        <v>97</v>
      </c>
      <c r="J13" s="19">
        <f ca="1">COUNTIF('📋 Görev Formu'!D:D,I13)</f>
        <v>0</v>
      </c>
      <c r="K13" s="37">
        <f ca="1">IFERROR(SUMIF('📋 Görev Formu'!D:D,I13,'📋 Görev Formu'!L:L),0)</f>
        <v>0</v>
      </c>
      <c r="L13" s="19">
        <f>COUNTIF('🚜 Araç Havuzu'!B:B,I13)</f>
        <v>0</v>
      </c>
    </row>
    <row r="16" spans="1:26" ht="24" customHeight="1" x14ac:dyDescent="0.3">
      <c r="A16" s="60" t="s">
        <v>98</v>
      </c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</row>
  </sheetData>
  <mergeCells count="5">
    <mergeCell ref="A1:L1"/>
    <mergeCell ref="A2:L2"/>
    <mergeCell ref="A3:D3"/>
    <mergeCell ref="I4:L4"/>
    <mergeCell ref="A16:L16"/>
  </mergeCells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62828"/>
  </sheetPr>
  <dimension ref="A1:H60"/>
  <sheetViews>
    <sheetView showGridLines="0" zoomScaleNormal="100" workbookViewId="0">
      <selection activeCell="J5" sqref="J5"/>
    </sheetView>
  </sheetViews>
  <sheetFormatPr defaultColWidth="8.6640625" defaultRowHeight="14.4" x14ac:dyDescent="0.3"/>
  <cols>
    <col min="1" max="1" width="14" style="1" customWidth="1"/>
    <col min="2" max="2" width="18" style="1" customWidth="1"/>
    <col min="3" max="3" width="22" style="1" customWidth="1"/>
    <col min="4" max="4" width="18" style="1" customWidth="1"/>
    <col min="5" max="5" width="26" style="1" customWidth="1"/>
    <col min="6" max="6" width="20" style="1" customWidth="1"/>
    <col min="7" max="8" width="14" style="1" customWidth="1"/>
  </cols>
  <sheetData>
    <row r="1" spans="1:8" ht="76.8" customHeight="1" x14ac:dyDescent="0.3">
      <c r="A1" s="57" t="s">
        <v>99</v>
      </c>
      <c r="B1" s="57"/>
      <c r="C1" s="57"/>
      <c r="D1" s="57"/>
      <c r="E1" s="57"/>
      <c r="F1" s="57"/>
      <c r="G1" s="57"/>
      <c r="H1" s="57"/>
    </row>
    <row r="2" spans="1:8" ht="18" customHeight="1" x14ac:dyDescent="0.3">
      <c r="A2" s="58" t="s">
        <v>100</v>
      </c>
      <c r="B2" s="58"/>
      <c r="C2" s="58"/>
      <c r="D2" s="58"/>
      <c r="E2" s="58"/>
      <c r="F2" s="58"/>
      <c r="G2" s="58"/>
      <c r="H2" s="58"/>
    </row>
    <row r="3" spans="1:8" ht="15.75" customHeight="1" x14ac:dyDescent="0.3">
      <c r="A3" s="56">
        <f ca="1">TODAY()</f>
        <v>46216</v>
      </c>
      <c r="B3" s="56"/>
      <c r="C3" s="56"/>
      <c r="D3" s="56"/>
    </row>
    <row r="4" spans="1:8" ht="24" customHeight="1" x14ac:dyDescent="0.3">
      <c r="A4" s="46" t="s">
        <v>41</v>
      </c>
      <c r="B4" s="46" t="s">
        <v>101</v>
      </c>
      <c r="C4" s="46" t="s">
        <v>4</v>
      </c>
      <c r="D4" s="46" t="s">
        <v>102</v>
      </c>
      <c r="E4" s="46" t="s">
        <v>103</v>
      </c>
      <c r="F4" s="46" t="s">
        <v>104</v>
      </c>
      <c r="G4" s="46" t="s">
        <v>105</v>
      </c>
      <c r="H4" s="46" t="s">
        <v>106</v>
      </c>
    </row>
    <row r="5" spans="1:8" ht="16.5" customHeight="1" x14ac:dyDescent="0.3">
      <c r="A5" s="47">
        <f>'🚜 Araç Havuzu'!A5</f>
        <v>0</v>
      </c>
      <c r="B5" s="47">
        <f>'🚜 Araç Havuzu'!B5</f>
        <v>0</v>
      </c>
      <c r="C5" s="47">
        <f>'🚜 Araç Havuzu'!C5</f>
        <v>0</v>
      </c>
      <c r="D5" s="47">
        <f>'🚜 Araç Havuzu'!J5</f>
        <v>0</v>
      </c>
      <c r="E5" s="47">
        <f>'🚜 Araç Havuzu'!K5</f>
        <v>0</v>
      </c>
      <c r="F5" s="47">
        <f>'🚜 Araç Havuzu'!L5</f>
        <v>0</v>
      </c>
      <c r="G5" s="5">
        <f>'🚜 Araç Havuzu'!M5</f>
        <v>0</v>
      </c>
      <c r="H5" s="5">
        <v>0</v>
      </c>
    </row>
    <row r="6" spans="1:8" ht="16.5" customHeight="1" x14ac:dyDescent="0.3">
      <c r="A6" s="48">
        <f>'🚜 Araç Havuzu'!A6</f>
        <v>0</v>
      </c>
      <c r="B6" s="48">
        <f>'🚜 Araç Havuzu'!B6</f>
        <v>0</v>
      </c>
      <c r="C6" s="48">
        <f>'🚜 Araç Havuzu'!C6</f>
        <v>0</v>
      </c>
      <c r="D6" s="48">
        <f>'🚜 Araç Havuzu'!J6</f>
        <v>0</v>
      </c>
      <c r="E6" s="48">
        <f>'🚜 Araç Havuzu'!K6</f>
        <v>0</v>
      </c>
      <c r="F6" s="48">
        <f>'🚜 Araç Havuzu'!L6</f>
        <v>0</v>
      </c>
      <c r="G6" s="9">
        <f>'🚜 Araç Havuzu'!M6</f>
        <v>0</v>
      </c>
      <c r="H6" s="9">
        <f>'🚜 Araç Havuzu'!N6</f>
        <v>0</v>
      </c>
    </row>
    <row r="7" spans="1:8" ht="16.5" customHeight="1" x14ac:dyDescent="0.3">
      <c r="A7" s="47">
        <f>'🚜 Araç Havuzu'!A7</f>
        <v>0</v>
      </c>
      <c r="B7" s="47">
        <f>'🚜 Araç Havuzu'!B7</f>
        <v>0</v>
      </c>
      <c r="C7" s="47">
        <f>'🚜 Araç Havuzu'!C7</f>
        <v>0</v>
      </c>
      <c r="D7" s="47">
        <f>'🚜 Araç Havuzu'!J7</f>
        <v>0</v>
      </c>
      <c r="E7" s="47">
        <f>'🚜 Araç Havuzu'!K7</f>
        <v>0</v>
      </c>
      <c r="F7" s="47">
        <f>'🚜 Araç Havuzu'!L7</f>
        <v>0</v>
      </c>
      <c r="G7" s="5">
        <f>'🚜 Araç Havuzu'!M7</f>
        <v>0</v>
      </c>
      <c r="H7" s="5">
        <f>'🚜 Araç Havuzu'!N7</f>
        <v>0</v>
      </c>
    </row>
    <row r="8" spans="1:8" ht="16.5" customHeight="1" x14ac:dyDescent="0.3">
      <c r="A8" s="48">
        <f>'🚜 Araç Havuzu'!A8</f>
        <v>0</v>
      </c>
      <c r="B8" s="48">
        <f>'🚜 Araç Havuzu'!B8</f>
        <v>0</v>
      </c>
      <c r="C8" s="48">
        <f>'🚜 Araç Havuzu'!C8</f>
        <v>0</v>
      </c>
      <c r="D8" s="48">
        <f>'🚜 Araç Havuzu'!J8</f>
        <v>0</v>
      </c>
      <c r="E8" s="48">
        <f>'🚜 Araç Havuzu'!K8</f>
        <v>0</v>
      </c>
      <c r="F8" s="48">
        <f>'🚜 Araç Havuzu'!L8</f>
        <v>0</v>
      </c>
      <c r="G8" s="9">
        <f>'🚜 Araç Havuzu'!M8</f>
        <v>0</v>
      </c>
      <c r="H8" s="9">
        <f>'🚜 Araç Havuzu'!N8</f>
        <v>0</v>
      </c>
    </row>
    <row r="9" spans="1:8" ht="16.5" customHeight="1" x14ac:dyDescent="0.3">
      <c r="A9" s="47">
        <f>'🚜 Araç Havuzu'!A9</f>
        <v>0</v>
      </c>
      <c r="B9" s="47">
        <f>'🚜 Araç Havuzu'!B9</f>
        <v>0</v>
      </c>
      <c r="C9" s="47">
        <f>'🚜 Araç Havuzu'!C9</f>
        <v>0</v>
      </c>
      <c r="D9" s="47">
        <f>'🚜 Araç Havuzu'!J9</f>
        <v>0</v>
      </c>
      <c r="E9" s="47">
        <f>'🚜 Araç Havuzu'!K9</f>
        <v>0</v>
      </c>
      <c r="F9" s="47">
        <f>'🚜 Araç Havuzu'!L9</f>
        <v>0</v>
      </c>
      <c r="G9" s="5">
        <f>'🚜 Araç Havuzu'!M9</f>
        <v>0</v>
      </c>
      <c r="H9" s="5">
        <f>'🚜 Araç Havuzu'!N9</f>
        <v>0</v>
      </c>
    </row>
    <row r="10" spans="1:8" ht="16.5" customHeight="1" x14ac:dyDescent="0.3">
      <c r="A10" s="48">
        <f>'🚜 Araç Havuzu'!A10</f>
        <v>0</v>
      </c>
      <c r="B10" s="48">
        <f>'🚜 Araç Havuzu'!B10</f>
        <v>0</v>
      </c>
      <c r="C10" s="48">
        <f>'🚜 Araç Havuzu'!C10</f>
        <v>0</v>
      </c>
      <c r="D10" s="48">
        <f>'🚜 Araç Havuzu'!J10</f>
        <v>0</v>
      </c>
      <c r="E10" s="48">
        <f>'🚜 Araç Havuzu'!K10</f>
        <v>0</v>
      </c>
      <c r="F10" s="48">
        <f>'🚜 Araç Havuzu'!L10</f>
        <v>0</v>
      </c>
      <c r="G10" s="9">
        <f>'🚜 Araç Havuzu'!M10</f>
        <v>0</v>
      </c>
      <c r="H10" s="9">
        <f>'🚜 Araç Havuzu'!N10</f>
        <v>0</v>
      </c>
    </row>
    <row r="11" spans="1:8" ht="16.5" customHeight="1" x14ac:dyDescent="0.3">
      <c r="A11" s="47">
        <f>'🚜 Araç Havuzu'!A11</f>
        <v>0</v>
      </c>
      <c r="B11" s="47">
        <f>'🚜 Araç Havuzu'!B11</f>
        <v>0</v>
      </c>
      <c r="C11" s="47">
        <f>'🚜 Araç Havuzu'!C11</f>
        <v>0</v>
      </c>
      <c r="D11" s="47">
        <f>'🚜 Araç Havuzu'!J11</f>
        <v>0</v>
      </c>
      <c r="E11" s="47">
        <f>'🚜 Araç Havuzu'!K11</f>
        <v>0</v>
      </c>
      <c r="F11" s="47">
        <f>'🚜 Araç Havuzu'!L11</f>
        <v>0</v>
      </c>
      <c r="G11" s="5">
        <f>'🚜 Araç Havuzu'!M11</f>
        <v>0</v>
      </c>
      <c r="H11" s="5">
        <f>'🚜 Araç Havuzu'!N11</f>
        <v>0</v>
      </c>
    </row>
    <row r="12" spans="1:8" ht="16.5" customHeight="1" x14ac:dyDescent="0.3">
      <c r="A12" s="48">
        <f>'🚜 Araç Havuzu'!A12</f>
        <v>0</v>
      </c>
      <c r="B12" s="48">
        <f>'🚜 Araç Havuzu'!B12</f>
        <v>0</v>
      </c>
      <c r="C12" s="48">
        <f>'🚜 Araç Havuzu'!C12</f>
        <v>0</v>
      </c>
      <c r="D12" s="48">
        <f>'🚜 Araç Havuzu'!J12</f>
        <v>0</v>
      </c>
      <c r="E12" s="48">
        <f>'🚜 Araç Havuzu'!K12</f>
        <v>0</v>
      </c>
      <c r="F12" s="48">
        <f>'🚜 Araç Havuzu'!L12</f>
        <v>0</v>
      </c>
      <c r="G12" s="9">
        <f>'🚜 Araç Havuzu'!M12</f>
        <v>0</v>
      </c>
      <c r="H12" s="9">
        <f>'🚜 Araç Havuzu'!N12</f>
        <v>0</v>
      </c>
    </row>
    <row r="13" spans="1:8" ht="16.5" customHeight="1" x14ac:dyDescent="0.3">
      <c r="A13" s="47">
        <f>'🚜 Araç Havuzu'!A13</f>
        <v>0</v>
      </c>
      <c r="B13" s="47">
        <f>'🚜 Araç Havuzu'!B13</f>
        <v>0</v>
      </c>
      <c r="C13" s="47">
        <f>'🚜 Araç Havuzu'!C13</f>
        <v>0</v>
      </c>
      <c r="D13" s="47">
        <f>'🚜 Araç Havuzu'!J13</f>
        <v>0</v>
      </c>
      <c r="E13" s="47">
        <f>'🚜 Araç Havuzu'!K13</f>
        <v>0</v>
      </c>
      <c r="F13" s="47">
        <f>'🚜 Araç Havuzu'!L13</f>
        <v>0</v>
      </c>
      <c r="G13" s="5">
        <f>'🚜 Araç Havuzu'!M13</f>
        <v>0</v>
      </c>
      <c r="H13" s="5">
        <f>'🚜 Araç Havuzu'!N13</f>
        <v>0</v>
      </c>
    </row>
    <row r="14" spans="1:8" ht="16.5" customHeight="1" x14ac:dyDescent="0.3">
      <c r="A14" s="48">
        <f>'🚜 Araç Havuzu'!A14</f>
        <v>0</v>
      </c>
      <c r="B14" s="48">
        <f>'🚜 Araç Havuzu'!B14</f>
        <v>0</v>
      </c>
      <c r="C14" s="48">
        <f>'🚜 Araç Havuzu'!C14</f>
        <v>0</v>
      </c>
      <c r="D14" s="48">
        <f>'🚜 Araç Havuzu'!J14</f>
        <v>0</v>
      </c>
      <c r="E14" s="48">
        <f>'🚜 Araç Havuzu'!K14</f>
        <v>0</v>
      </c>
      <c r="F14" s="48">
        <f>'🚜 Araç Havuzu'!L14</f>
        <v>0</v>
      </c>
      <c r="G14" s="9">
        <f>'🚜 Araç Havuzu'!M14</f>
        <v>0</v>
      </c>
      <c r="H14" s="9">
        <f>'🚜 Araç Havuzu'!N14</f>
        <v>0</v>
      </c>
    </row>
    <row r="15" spans="1:8" ht="16.5" customHeight="1" x14ac:dyDescent="0.3">
      <c r="A15" s="47">
        <f>'🚜 Araç Havuzu'!A15</f>
        <v>0</v>
      </c>
      <c r="B15" s="47">
        <f>'🚜 Araç Havuzu'!B15</f>
        <v>0</v>
      </c>
      <c r="C15" s="47">
        <f>'🚜 Araç Havuzu'!C15</f>
        <v>0</v>
      </c>
      <c r="D15" s="47">
        <f>'🚜 Araç Havuzu'!J15</f>
        <v>0</v>
      </c>
      <c r="E15" s="47">
        <f>'🚜 Araç Havuzu'!K15</f>
        <v>0</v>
      </c>
      <c r="F15" s="47">
        <f>'🚜 Araç Havuzu'!L15</f>
        <v>0</v>
      </c>
      <c r="G15" s="5">
        <f>'🚜 Araç Havuzu'!M15</f>
        <v>0</v>
      </c>
      <c r="H15" s="5">
        <f>'🚜 Araç Havuzu'!N15</f>
        <v>0</v>
      </c>
    </row>
    <row r="16" spans="1:8" ht="16.5" customHeight="1" x14ac:dyDescent="0.3">
      <c r="A16" s="48">
        <f>'🚜 Araç Havuzu'!A16</f>
        <v>0</v>
      </c>
      <c r="B16" s="48">
        <f>'🚜 Araç Havuzu'!B16</f>
        <v>0</v>
      </c>
      <c r="C16" s="48">
        <f>'🚜 Araç Havuzu'!C16</f>
        <v>0</v>
      </c>
      <c r="D16" s="48">
        <f>'🚜 Araç Havuzu'!J16</f>
        <v>0</v>
      </c>
      <c r="E16" s="48">
        <f>'🚜 Araç Havuzu'!K16</f>
        <v>0</v>
      </c>
      <c r="F16" s="48">
        <f>'🚜 Araç Havuzu'!L16</f>
        <v>0</v>
      </c>
      <c r="G16" s="9">
        <f>'🚜 Araç Havuzu'!M16</f>
        <v>0</v>
      </c>
      <c r="H16" s="9">
        <f>'🚜 Araç Havuzu'!N16</f>
        <v>0</v>
      </c>
    </row>
    <row r="17" spans="1:8" ht="16.5" customHeight="1" x14ac:dyDescent="0.3">
      <c r="A17" s="47">
        <f>'🚜 Araç Havuzu'!A17</f>
        <v>0</v>
      </c>
      <c r="B17" s="47">
        <f>'🚜 Araç Havuzu'!B17</f>
        <v>0</v>
      </c>
      <c r="C17" s="47">
        <f>'🚜 Araç Havuzu'!C17</f>
        <v>0</v>
      </c>
      <c r="D17" s="47">
        <f>'🚜 Araç Havuzu'!J17</f>
        <v>0</v>
      </c>
      <c r="E17" s="47">
        <f>'🚜 Araç Havuzu'!K17</f>
        <v>0</v>
      </c>
      <c r="F17" s="47">
        <f>'🚜 Araç Havuzu'!L17</f>
        <v>0</v>
      </c>
      <c r="G17" s="5">
        <f>'🚜 Araç Havuzu'!M17</f>
        <v>0</v>
      </c>
      <c r="H17" s="5">
        <f>'🚜 Araç Havuzu'!N17</f>
        <v>0</v>
      </c>
    </row>
    <row r="18" spans="1:8" ht="16.5" customHeight="1" x14ac:dyDescent="0.3">
      <c r="A18" s="48">
        <f>'🚜 Araç Havuzu'!A18</f>
        <v>0</v>
      </c>
      <c r="B18" s="48">
        <f>'🚜 Araç Havuzu'!B18</f>
        <v>0</v>
      </c>
      <c r="C18" s="48">
        <f>'🚜 Araç Havuzu'!C18</f>
        <v>0</v>
      </c>
      <c r="D18" s="48">
        <f>'🚜 Araç Havuzu'!J18</f>
        <v>0</v>
      </c>
      <c r="E18" s="48">
        <f>'🚜 Araç Havuzu'!K18</f>
        <v>0</v>
      </c>
      <c r="F18" s="48">
        <f>'🚜 Araç Havuzu'!L18</f>
        <v>0</v>
      </c>
      <c r="G18" s="9">
        <f>'🚜 Araç Havuzu'!M18</f>
        <v>0</v>
      </c>
      <c r="H18" s="9">
        <f>'🚜 Araç Havuzu'!N18</f>
        <v>0</v>
      </c>
    </row>
    <row r="19" spans="1:8" ht="16.5" customHeight="1" x14ac:dyDescent="0.3">
      <c r="A19" s="47">
        <f>'🚜 Araç Havuzu'!A19</f>
        <v>0</v>
      </c>
      <c r="B19" s="47">
        <f>'🚜 Araç Havuzu'!B19</f>
        <v>0</v>
      </c>
      <c r="C19" s="47">
        <f>'🚜 Araç Havuzu'!C19</f>
        <v>0</v>
      </c>
      <c r="D19" s="47">
        <f>'🚜 Araç Havuzu'!J19</f>
        <v>0</v>
      </c>
      <c r="E19" s="47">
        <f>'🚜 Araç Havuzu'!K19</f>
        <v>0</v>
      </c>
      <c r="F19" s="47">
        <f>'🚜 Araç Havuzu'!L19</f>
        <v>0</v>
      </c>
      <c r="G19" s="5">
        <f>'🚜 Araç Havuzu'!M19</f>
        <v>0</v>
      </c>
      <c r="H19" s="5">
        <f>'🚜 Araç Havuzu'!N19</f>
        <v>0</v>
      </c>
    </row>
    <row r="20" spans="1:8" ht="16.5" customHeight="1" x14ac:dyDescent="0.3">
      <c r="A20" s="48">
        <f>'🚜 Araç Havuzu'!A20</f>
        <v>0</v>
      </c>
      <c r="B20" s="48">
        <f>'🚜 Araç Havuzu'!B20</f>
        <v>0</v>
      </c>
      <c r="C20" s="48">
        <f>'🚜 Araç Havuzu'!C20</f>
        <v>0</v>
      </c>
      <c r="D20" s="48">
        <f>'🚜 Araç Havuzu'!J20</f>
        <v>0</v>
      </c>
      <c r="E20" s="48">
        <f>'🚜 Araç Havuzu'!K20</f>
        <v>0</v>
      </c>
      <c r="F20" s="48">
        <f>'🚜 Araç Havuzu'!L20</f>
        <v>0</v>
      </c>
      <c r="G20" s="9">
        <f>'🚜 Araç Havuzu'!M20</f>
        <v>0</v>
      </c>
      <c r="H20" s="9">
        <f>'🚜 Araç Havuzu'!N20</f>
        <v>0</v>
      </c>
    </row>
    <row r="21" spans="1:8" ht="16.5" customHeight="1" x14ac:dyDescent="0.3">
      <c r="A21" s="47">
        <f>'🚜 Araç Havuzu'!A21</f>
        <v>0</v>
      </c>
      <c r="B21" s="47">
        <f>'🚜 Araç Havuzu'!B21</f>
        <v>0</v>
      </c>
      <c r="C21" s="47">
        <f>'🚜 Araç Havuzu'!C21</f>
        <v>0</v>
      </c>
      <c r="D21" s="47">
        <f>'🚜 Araç Havuzu'!J21</f>
        <v>0</v>
      </c>
      <c r="E21" s="47">
        <f>'🚜 Araç Havuzu'!K21</f>
        <v>0</v>
      </c>
      <c r="F21" s="47">
        <f>'🚜 Araç Havuzu'!L21</f>
        <v>0</v>
      </c>
      <c r="G21" s="5">
        <f>'🚜 Araç Havuzu'!M21</f>
        <v>0</v>
      </c>
      <c r="H21" s="5">
        <f>'🚜 Araç Havuzu'!N21</f>
        <v>0</v>
      </c>
    </row>
    <row r="22" spans="1:8" ht="16.5" customHeight="1" x14ac:dyDescent="0.3">
      <c r="A22" s="48">
        <f>'🚜 Araç Havuzu'!A22</f>
        <v>0</v>
      </c>
      <c r="B22" s="48">
        <f>'🚜 Araç Havuzu'!B22</f>
        <v>0</v>
      </c>
      <c r="C22" s="48">
        <f>'🚜 Araç Havuzu'!C22</f>
        <v>0</v>
      </c>
      <c r="D22" s="48">
        <f>'🚜 Araç Havuzu'!J22</f>
        <v>0</v>
      </c>
      <c r="E22" s="48">
        <f>'🚜 Araç Havuzu'!K22</f>
        <v>0</v>
      </c>
      <c r="F22" s="48">
        <f>'🚜 Araç Havuzu'!L22</f>
        <v>0</v>
      </c>
      <c r="G22" s="9">
        <f>'🚜 Araç Havuzu'!M22</f>
        <v>0</v>
      </c>
      <c r="H22" s="9">
        <f>'🚜 Araç Havuzu'!N22</f>
        <v>0</v>
      </c>
    </row>
    <row r="23" spans="1:8" ht="16.5" customHeight="1" x14ac:dyDescent="0.3">
      <c r="A23" s="47">
        <f>'🚜 Araç Havuzu'!A23</f>
        <v>0</v>
      </c>
      <c r="B23" s="47">
        <f>'🚜 Araç Havuzu'!B23</f>
        <v>0</v>
      </c>
      <c r="C23" s="47">
        <f>'🚜 Araç Havuzu'!C23</f>
        <v>0</v>
      </c>
      <c r="D23" s="47">
        <f>'🚜 Araç Havuzu'!J23</f>
        <v>0</v>
      </c>
      <c r="E23" s="47">
        <f>'🚜 Araç Havuzu'!K23</f>
        <v>0</v>
      </c>
      <c r="F23" s="47">
        <f>'🚜 Araç Havuzu'!L23</f>
        <v>0</v>
      </c>
      <c r="G23" s="5">
        <f>'🚜 Araç Havuzu'!M23</f>
        <v>0</v>
      </c>
      <c r="H23" s="5">
        <f>'🚜 Araç Havuzu'!N23</f>
        <v>0</v>
      </c>
    </row>
    <row r="24" spans="1:8" ht="16.5" customHeight="1" x14ac:dyDescent="0.3">
      <c r="A24" s="48">
        <f>'🚜 Araç Havuzu'!A24</f>
        <v>0</v>
      </c>
      <c r="B24" s="48">
        <f>'🚜 Araç Havuzu'!B24</f>
        <v>0</v>
      </c>
      <c r="C24" s="48">
        <f>'🚜 Araç Havuzu'!C24</f>
        <v>0</v>
      </c>
      <c r="D24" s="48">
        <f>'🚜 Araç Havuzu'!J24</f>
        <v>0</v>
      </c>
      <c r="E24" s="48">
        <f>'🚜 Araç Havuzu'!K24</f>
        <v>0</v>
      </c>
      <c r="F24" s="48">
        <f>'🚜 Araç Havuzu'!L24</f>
        <v>0</v>
      </c>
      <c r="G24" s="9">
        <f>'🚜 Araç Havuzu'!M24</f>
        <v>0</v>
      </c>
      <c r="H24" s="9">
        <f>'🚜 Araç Havuzu'!N24</f>
        <v>0</v>
      </c>
    </row>
    <row r="25" spans="1:8" ht="16.5" customHeight="1" x14ac:dyDescent="0.3">
      <c r="A25" s="47">
        <f>'🚜 Araç Havuzu'!A25</f>
        <v>0</v>
      </c>
      <c r="B25" s="47">
        <f>'🚜 Araç Havuzu'!B25</f>
        <v>0</v>
      </c>
      <c r="C25" s="47">
        <f>'🚜 Araç Havuzu'!C25</f>
        <v>0</v>
      </c>
      <c r="D25" s="47">
        <f>'🚜 Araç Havuzu'!J25</f>
        <v>0</v>
      </c>
      <c r="E25" s="47">
        <f>'🚜 Araç Havuzu'!K25</f>
        <v>0</v>
      </c>
      <c r="F25" s="47">
        <f>'🚜 Araç Havuzu'!L25</f>
        <v>0</v>
      </c>
      <c r="G25" s="5">
        <f>'🚜 Araç Havuzu'!M25</f>
        <v>0</v>
      </c>
      <c r="H25" s="5">
        <f>'🚜 Araç Havuzu'!N25</f>
        <v>0</v>
      </c>
    </row>
    <row r="26" spans="1:8" ht="16.5" customHeight="1" x14ac:dyDescent="0.3">
      <c r="A26" s="48">
        <f>'🚜 Araç Havuzu'!A26</f>
        <v>0</v>
      </c>
      <c r="B26" s="48">
        <f>'🚜 Araç Havuzu'!B26</f>
        <v>0</v>
      </c>
      <c r="C26" s="48">
        <f>'🚜 Araç Havuzu'!C26</f>
        <v>0</v>
      </c>
      <c r="D26" s="48">
        <f>'🚜 Araç Havuzu'!J26</f>
        <v>0</v>
      </c>
      <c r="E26" s="48">
        <f>'🚜 Araç Havuzu'!K26</f>
        <v>0</v>
      </c>
      <c r="F26" s="48">
        <f>'🚜 Araç Havuzu'!L26</f>
        <v>0</v>
      </c>
      <c r="G26" s="9">
        <f>'🚜 Araç Havuzu'!M26</f>
        <v>0</v>
      </c>
      <c r="H26" s="9">
        <f>'🚜 Araç Havuzu'!N26</f>
        <v>0</v>
      </c>
    </row>
    <row r="27" spans="1:8" ht="16.5" customHeight="1" x14ac:dyDescent="0.3">
      <c r="A27" s="47">
        <f>'🚜 Araç Havuzu'!A27</f>
        <v>0</v>
      </c>
      <c r="B27" s="47">
        <f>'🚜 Araç Havuzu'!B27</f>
        <v>0</v>
      </c>
      <c r="C27" s="47">
        <f>'🚜 Araç Havuzu'!C27</f>
        <v>0</v>
      </c>
      <c r="D27" s="47">
        <f>'🚜 Araç Havuzu'!J27</f>
        <v>0</v>
      </c>
      <c r="E27" s="47">
        <f>'🚜 Araç Havuzu'!K27</f>
        <v>0</v>
      </c>
      <c r="F27" s="47">
        <f>'🚜 Araç Havuzu'!L27</f>
        <v>0</v>
      </c>
      <c r="G27" s="5">
        <f>'🚜 Araç Havuzu'!M27</f>
        <v>0</v>
      </c>
      <c r="H27" s="5">
        <f>'🚜 Araç Havuzu'!N27</f>
        <v>0</v>
      </c>
    </row>
    <row r="28" spans="1:8" ht="16.5" customHeight="1" x14ac:dyDescent="0.3">
      <c r="A28" s="48">
        <f>'🚜 Araç Havuzu'!A28</f>
        <v>0</v>
      </c>
      <c r="B28" s="48">
        <f>'🚜 Araç Havuzu'!B28</f>
        <v>0</v>
      </c>
      <c r="C28" s="48">
        <f>'🚜 Araç Havuzu'!C28</f>
        <v>0</v>
      </c>
      <c r="D28" s="48">
        <f>'🚜 Araç Havuzu'!J28</f>
        <v>0</v>
      </c>
      <c r="E28" s="48">
        <f>'🚜 Araç Havuzu'!K28</f>
        <v>0</v>
      </c>
      <c r="F28" s="48">
        <f>'🚜 Araç Havuzu'!L28</f>
        <v>0</v>
      </c>
      <c r="G28" s="9">
        <f>'🚜 Araç Havuzu'!M28</f>
        <v>0</v>
      </c>
      <c r="H28" s="9">
        <f>'🚜 Araç Havuzu'!N28</f>
        <v>0</v>
      </c>
    </row>
    <row r="29" spans="1:8" ht="16.5" customHeight="1" x14ac:dyDescent="0.3">
      <c r="A29" s="47">
        <f>'🚜 Araç Havuzu'!A29</f>
        <v>0</v>
      </c>
      <c r="B29" s="47">
        <f>'🚜 Araç Havuzu'!B29</f>
        <v>0</v>
      </c>
      <c r="C29" s="47">
        <f>'🚜 Araç Havuzu'!C29</f>
        <v>0</v>
      </c>
      <c r="D29" s="47">
        <f>'🚜 Araç Havuzu'!J29</f>
        <v>0</v>
      </c>
      <c r="E29" s="47">
        <f>'🚜 Araç Havuzu'!K29</f>
        <v>0</v>
      </c>
      <c r="F29" s="47">
        <f>'🚜 Araç Havuzu'!L29</f>
        <v>0</v>
      </c>
      <c r="G29" s="5">
        <f>'🚜 Araç Havuzu'!M29</f>
        <v>0</v>
      </c>
      <c r="H29" s="5">
        <f>'🚜 Araç Havuzu'!N29</f>
        <v>0</v>
      </c>
    </row>
    <row r="30" spans="1:8" ht="16.5" customHeight="1" x14ac:dyDescent="0.3">
      <c r="A30" s="48">
        <f>'🚜 Araç Havuzu'!A30</f>
        <v>0</v>
      </c>
      <c r="B30" s="48">
        <f>'🚜 Araç Havuzu'!B30</f>
        <v>0</v>
      </c>
      <c r="C30" s="48">
        <f>'🚜 Araç Havuzu'!C30</f>
        <v>0</v>
      </c>
      <c r="D30" s="48">
        <f>'🚜 Araç Havuzu'!J30</f>
        <v>0</v>
      </c>
      <c r="E30" s="48">
        <f>'🚜 Araç Havuzu'!K30</f>
        <v>0</v>
      </c>
      <c r="F30" s="48">
        <f>'🚜 Araç Havuzu'!L30</f>
        <v>0</v>
      </c>
      <c r="G30" s="9">
        <f>'🚜 Araç Havuzu'!M30</f>
        <v>0</v>
      </c>
      <c r="H30" s="9">
        <f>'🚜 Araç Havuzu'!N30</f>
        <v>0</v>
      </c>
    </row>
    <row r="31" spans="1:8" ht="16.5" customHeight="1" x14ac:dyDescent="0.3">
      <c r="A31" s="47">
        <f>'🚜 Araç Havuzu'!A31</f>
        <v>0</v>
      </c>
      <c r="B31" s="47">
        <f>'🚜 Araç Havuzu'!B31</f>
        <v>0</v>
      </c>
      <c r="C31" s="47">
        <f>'🚜 Araç Havuzu'!C31</f>
        <v>0</v>
      </c>
      <c r="D31" s="47">
        <f>'🚜 Araç Havuzu'!J31</f>
        <v>0</v>
      </c>
      <c r="E31" s="47">
        <f>'🚜 Araç Havuzu'!K31</f>
        <v>0</v>
      </c>
      <c r="F31" s="47">
        <f>'🚜 Araç Havuzu'!L31</f>
        <v>0</v>
      </c>
      <c r="G31" s="5">
        <f>'🚜 Araç Havuzu'!M31</f>
        <v>0</v>
      </c>
      <c r="H31" s="5">
        <f>'🚜 Araç Havuzu'!N31</f>
        <v>0</v>
      </c>
    </row>
    <row r="32" spans="1:8" ht="16.5" customHeight="1" x14ac:dyDescent="0.3">
      <c r="A32" s="48">
        <f>'🚜 Araç Havuzu'!A32</f>
        <v>0</v>
      </c>
      <c r="B32" s="48">
        <f>'🚜 Araç Havuzu'!B32</f>
        <v>0</v>
      </c>
      <c r="C32" s="48">
        <f>'🚜 Araç Havuzu'!C32</f>
        <v>0</v>
      </c>
      <c r="D32" s="48">
        <f>'🚜 Araç Havuzu'!J32</f>
        <v>0</v>
      </c>
      <c r="E32" s="48">
        <f>'🚜 Araç Havuzu'!K32</f>
        <v>0</v>
      </c>
      <c r="F32" s="48">
        <f>'🚜 Araç Havuzu'!L32</f>
        <v>0</v>
      </c>
      <c r="G32" s="9">
        <f>'🚜 Araç Havuzu'!M32</f>
        <v>0</v>
      </c>
      <c r="H32" s="9">
        <f>'🚜 Araç Havuzu'!N32</f>
        <v>0</v>
      </c>
    </row>
    <row r="33" spans="1:8" ht="16.5" customHeight="1" x14ac:dyDescent="0.3">
      <c r="A33" s="47">
        <f>'🚜 Araç Havuzu'!A33</f>
        <v>0</v>
      </c>
      <c r="B33" s="47">
        <f>'🚜 Araç Havuzu'!B33</f>
        <v>0</v>
      </c>
      <c r="C33" s="47">
        <f>'🚜 Araç Havuzu'!C33</f>
        <v>0</v>
      </c>
      <c r="D33" s="47">
        <f>'🚜 Araç Havuzu'!J33</f>
        <v>0</v>
      </c>
      <c r="E33" s="47">
        <f>'🚜 Araç Havuzu'!K33</f>
        <v>0</v>
      </c>
      <c r="F33" s="47">
        <f>'🚜 Araç Havuzu'!L33</f>
        <v>0</v>
      </c>
      <c r="G33" s="5">
        <f>'🚜 Araç Havuzu'!M33</f>
        <v>0</v>
      </c>
      <c r="H33" s="5">
        <f>'🚜 Araç Havuzu'!N33</f>
        <v>0</v>
      </c>
    </row>
    <row r="34" spans="1:8" ht="16.5" customHeight="1" x14ac:dyDescent="0.3">
      <c r="A34" s="48">
        <f>'🚜 Araç Havuzu'!A34</f>
        <v>0</v>
      </c>
      <c r="B34" s="48">
        <f>'🚜 Araç Havuzu'!B34</f>
        <v>0</v>
      </c>
      <c r="C34" s="48">
        <f>'🚜 Araç Havuzu'!C34</f>
        <v>0</v>
      </c>
      <c r="D34" s="48">
        <f>'🚜 Araç Havuzu'!J34</f>
        <v>0</v>
      </c>
      <c r="E34" s="48">
        <f>'🚜 Araç Havuzu'!K34</f>
        <v>0</v>
      </c>
      <c r="F34" s="48">
        <f>'🚜 Araç Havuzu'!L34</f>
        <v>0</v>
      </c>
      <c r="G34" s="9">
        <f>'🚜 Araç Havuzu'!M34</f>
        <v>0</v>
      </c>
      <c r="H34" s="9">
        <f>'🚜 Araç Havuzu'!N34</f>
        <v>0</v>
      </c>
    </row>
    <row r="35" spans="1:8" ht="16.5" customHeight="1" x14ac:dyDescent="0.3">
      <c r="A35" s="47">
        <f>'🚜 Araç Havuzu'!A35</f>
        <v>0</v>
      </c>
      <c r="B35" s="47">
        <f>'🚜 Araç Havuzu'!B35</f>
        <v>0</v>
      </c>
      <c r="C35" s="47">
        <f>'🚜 Araç Havuzu'!C35</f>
        <v>0</v>
      </c>
      <c r="D35" s="47">
        <f>'🚜 Araç Havuzu'!J35</f>
        <v>0</v>
      </c>
      <c r="E35" s="47">
        <f>'🚜 Araç Havuzu'!K35</f>
        <v>0</v>
      </c>
      <c r="F35" s="47">
        <f>'🚜 Araç Havuzu'!L35</f>
        <v>0</v>
      </c>
      <c r="G35" s="5">
        <f>'🚜 Araç Havuzu'!M35</f>
        <v>0</v>
      </c>
      <c r="H35" s="5">
        <f>'🚜 Araç Havuzu'!N35</f>
        <v>0</v>
      </c>
    </row>
    <row r="36" spans="1:8" ht="16.5" customHeight="1" x14ac:dyDescent="0.3">
      <c r="A36" s="48">
        <f>'🚜 Araç Havuzu'!A36</f>
        <v>0</v>
      </c>
      <c r="B36" s="48">
        <f>'🚜 Araç Havuzu'!B36</f>
        <v>0</v>
      </c>
      <c r="C36" s="48">
        <f>'🚜 Araç Havuzu'!C36</f>
        <v>0</v>
      </c>
      <c r="D36" s="48">
        <f>'🚜 Araç Havuzu'!J36</f>
        <v>0</v>
      </c>
      <c r="E36" s="48">
        <f>'🚜 Araç Havuzu'!K36</f>
        <v>0</v>
      </c>
      <c r="F36" s="48">
        <f>'🚜 Araç Havuzu'!L36</f>
        <v>0</v>
      </c>
      <c r="G36" s="9">
        <f>'🚜 Araç Havuzu'!M36</f>
        <v>0</v>
      </c>
      <c r="H36" s="9">
        <f>'🚜 Araç Havuzu'!N36</f>
        <v>0</v>
      </c>
    </row>
    <row r="37" spans="1:8" ht="16.5" customHeight="1" x14ac:dyDescent="0.3">
      <c r="A37" s="47">
        <f>'🚜 Araç Havuzu'!A37</f>
        <v>0</v>
      </c>
      <c r="B37" s="47">
        <f>'🚜 Araç Havuzu'!B37</f>
        <v>0</v>
      </c>
      <c r="C37" s="47">
        <f>'🚜 Araç Havuzu'!C37</f>
        <v>0</v>
      </c>
      <c r="D37" s="47">
        <f>'🚜 Araç Havuzu'!J37</f>
        <v>0</v>
      </c>
      <c r="E37" s="47">
        <f>'🚜 Araç Havuzu'!K37</f>
        <v>0</v>
      </c>
      <c r="F37" s="47">
        <f>'🚜 Araç Havuzu'!L37</f>
        <v>0</v>
      </c>
      <c r="G37" s="5">
        <f>'🚜 Araç Havuzu'!M37</f>
        <v>0</v>
      </c>
      <c r="H37" s="5">
        <f>'🚜 Araç Havuzu'!N37</f>
        <v>0</v>
      </c>
    </row>
    <row r="38" spans="1:8" ht="16.5" customHeight="1" x14ac:dyDescent="0.3">
      <c r="A38" s="48">
        <f>'🚜 Araç Havuzu'!A38</f>
        <v>0</v>
      </c>
      <c r="B38" s="48">
        <f>'🚜 Araç Havuzu'!B38</f>
        <v>0</v>
      </c>
      <c r="C38" s="48">
        <f>'🚜 Araç Havuzu'!C38</f>
        <v>0</v>
      </c>
      <c r="D38" s="48">
        <f>'🚜 Araç Havuzu'!J38</f>
        <v>0</v>
      </c>
      <c r="E38" s="48">
        <f>'🚜 Araç Havuzu'!K38</f>
        <v>0</v>
      </c>
      <c r="F38" s="48">
        <f>'🚜 Araç Havuzu'!L38</f>
        <v>0</v>
      </c>
      <c r="G38" s="9">
        <f>'🚜 Araç Havuzu'!M38</f>
        <v>0</v>
      </c>
      <c r="H38" s="9">
        <f>'🚜 Araç Havuzu'!N38</f>
        <v>0</v>
      </c>
    </row>
    <row r="39" spans="1:8" ht="16.5" customHeight="1" x14ac:dyDescent="0.3">
      <c r="A39" s="47">
        <f>'🚜 Araç Havuzu'!A39</f>
        <v>0</v>
      </c>
      <c r="B39" s="47">
        <f>'🚜 Araç Havuzu'!B39</f>
        <v>0</v>
      </c>
      <c r="C39" s="47">
        <f>'🚜 Araç Havuzu'!C39</f>
        <v>0</v>
      </c>
      <c r="D39" s="47">
        <f>'🚜 Araç Havuzu'!J39</f>
        <v>0</v>
      </c>
      <c r="E39" s="47">
        <f>'🚜 Araç Havuzu'!K39</f>
        <v>0</v>
      </c>
      <c r="F39" s="47">
        <f>'🚜 Araç Havuzu'!L39</f>
        <v>0</v>
      </c>
      <c r="G39" s="5">
        <f>'🚜 Araç Havuzu'!M39</f>
        <v>0</v>
      </c>
      <c r="H39" s="5">
        <f>'🚜 Araç Havuzu'!N39</f>
        <v>0</v>
      </c>
    </row>
    <row r="40" spans="1:8" ht="16.5" customHeight="1" x14ac:dyDescent="0.3">
      <c r="A40" s="48">
        <f>'🚜 Araç Havuzu'!A40</f>
        <v>0</v>
      </c>
      <c r="B40" s="48">
        <f>'🚜 Araç Havuzu'!B40</f>
        <v>0</v>
      </c>
      <c r="C40" s="48">
        <f>'🚜 Araç Havuzu'!C40</f>
        <v>0</v>
      </c>
      <c r="D40" s="48">
        <f>'🚜 Araç Havuzu'!J40</f>
        <v>0</v>
      </c>
      <c r="E40" s="48">
        <f>'🚜 Araç Havuzu'!K40</f>
        <v>0</v>
      </c>
      <c r="F40" s="48">
        <f>'🚜 Araç Havuzu'!L40</f>
        <v>0</v>
      </c>
      <c r="G40" s="9">
        <f>'🚜 Araç Havuzu'!M40</f>
        <v>0</v>
      </c>
      <c r="H40" s="9">
        <f>'🚜 Araç Havuzu'!N40</f>
        <v>0</v>
      </c>
    </row>
    <row r="41" spans="1:8" ht="16.5" customHeight="1" x14ac:dyDescent="0.3">
      <c r="A41" s="47">
        <f>'🚜 Araç Havuzu'!A41</f>
        <v>0</v>
      </c>
      <c r="B41" s="47">
        <f>'🚜 Araç Havuzu'!B41</f>
        <v>0</v>
      </c>
      <c r="C41" s="47">
        <f>'🚜 Araç Havuzu'!C41</f>
        <v>0</v>
      </c>
      <c r="D41" s="47">
        <f>'🚜 Araç Havuzu'!J41</f>
        <v>0</v>
      </c>
      <c r="E41" s="47">
        <f>'🚜 Araç Havuzu'!K41</f>
        <v>0</v>
      </c>
      <c r="F41" s="47">
        <f>'🚜 Araç Havuzu'!L41</f>
        <v>0</v>
      </c>
      <c r="G41" s="5">
        <f>'🚜 Araç Havuzu'!M41</f>
        <v>0</v>
      </c>
      <c r="H41" s="5">
        <f>'🚜 Araç Havuzu'!N41</f>
        <v>0</v>
      </c>
    </row>
    <row r="42" spans="1:8" ht="16.5" customHeight="1" x14ac:dyDescent="0.3">
      <c r="A42" s="48">
        <f>'🚜 Araç Havuzu'!A42</f>
        <v>0</v>
      </c>
      <c r="B42" s="48">
        <f>'🚜 Araç Havuzu'!B42</f>
        <v>0</v>
      </c>
      <c r="C42" s="48">
        <f>'🚜 Araç Havuzu'!C42</f>
        <v>0</v>
      </c>
      <c r="D42" s="48">
        <f>'🚜 Araç Havuzu'!J42</f>
        <v>0</v>
      </c>
      <c r="E42" s="48">
        <f>'🚜 Araç Havuzu'!K42</f>
        <v>0</v>
      </c>
      <c r="F42" s="48">
        <f>'🚜 Araç Havuzu'!L42</f>
        <v>0</v>
      </c>
      <c r="G42" s="9">
        <f>'🚜 Araç Havuzu'!M42</f>
        <v>0</v>
      </c>
      <c r="H42" s="9">
        <f>'🚜 Araç Havuzu'!N42</f>
        <v>0</v>
      </c>
    </row>
    <row r="43" spans="1:8" ht="16.5" customHeight="1" x14ac:dyDescent="0.3">
      <c r="A43" s="47">
        <f>'🚜 Araç Havuzu'!A43</f>
        <v>0</v>
      </c>
      <c r="B43" s="47">
        <f>'🚜 Araç Havuzu'!B43</f>
        <v>0</v>
      </c>
      <c r="C43" s="47">
        <f>'🚜 Araç Havuzu'!C43</f>
        <v>0</v>
      </c>
      <c r="D43" s="47">
        <f>'🚜 Araç Havuzu'!J43</f>
        <v>0</v>
      </c>
      <c r="E43" s="47">
        <f>'🚜 Araç Havuzu'!K43</f>
        <v>0</v>
      </c>
      <c r="F43" s="47">
        <f>'🚜 Araç Havuzu'!L43</f>
        <v>0</v>
      </c>
      <c r="G43" s="5">
        <f>'🚜 Araç Havuzu'!M43</f>
        <v>0</v>
      </c>
      <c r="H43" s="5">
        <f>'🚜 Araç Havuzu'!N43</f>
        <v>0</v>
      </c>
    </row>
    <row r="44" spans="1:8" ht="16.5" customHeight="1" x14ac:dyDescent="0.3">
      <c r="A44" s="48">
        <f>'🚜 Araç Havuzu'!A44</f>
        <v>0</v>
      </c>
      <c r="B44" s="48">
        <f>'🚜 Araç Havuzu'!B44</f>
        <v>0</v>
      </c>
      <c r="C44" s="48">
        <f>'🚜 Araç Havuzu'!C44</f>
        <v>0</v>
      </c>
      <c r="D44" s="48">
        <f>'🚜 Araç Havuzu'!J44</f>
        <v>0</v>
      </c>
      <c r="E44" s="48">
        <f>'🚜 Araç Havuzu'!K44</f>
        <v>0</v>
      </c>
      <c r="F44" s="48">
        <f>'🚜 Araç Havuzu'!L44</f>
        <v>0</v>
      </c>
      <c r="G44" s="9">
        <f>'🚜 Araç Havuzu'!M44</f>
        <v>0</v>
      </c>
      <c r="H44" s="9">
        <f>'🚜 Araç Havuzu'!N44</f>
        <v>0</v>
      </c>
    </row>
    <row r="45" spans="1:8" ht="16.5" customHeight="1" x14ac:dyDescent="0.3">
      <c r="A45" s="47">
        <f>'🚜 Araç Havuzu'!A45</f>
        <v>0</v>
      </c>
      <c r="B45" s="47">
        <f>'🚜 Araç Havuzu'!B45</f>
        <v>0</v>
      </c>
      <c r="C45" s="47">
        <f>'🚜 Araç Havuzu'!C45</f>
        <v>0</v>
      </c>
      <c r="D45" s="47">
        <f>'🚜 Araç Havuzu'!J45</f>
        <v>0</v>
      </c>
      <c r="E45" s="47">
        <f>'🚜 Araç Havuzu'!K45</f>
        <v>0</v>
      </c>
      <c r="F45" s="47">
        <f>'🚜 Araç Havuzu'!L45</f>
        <v>0</v>
      </c>
      <c r="G45" s="5">
        <f>'🚜 Araç Havuzu'!M45</f>
        <v>0</v>
      </c>
      <c r="H45" s="5">
        <f>'🚜 Araç Havuzu'!N45</f>
        <v>0</v>
      </c>
    </row>
    <row r="46" spans="1:8" ht="16.5" customHeight="1" x14ac:dyDescent="0.3">
      <c r="A46" s="48">
        <f>'🚜 Araç Havuzu'!A46</f>
        <v>0</v>
      </c>
      <c r="B46" s="48">
        <f>'🚜 Araç Havuzu'!B46</f>
        <v>0</v>
      </c>
      <c r="C46" s="48">
        <f>'🚜 Araç Havuzu'!C46</f>
        <v>0</v>
      </c>
      <c r="D46" s="48">
        <f>'🚜 Araç Havuzu'!J46</f>
        <v>0</v>
      </c>
      <c r="E46" s="48">
        <f>'🚜 Araç Havuzu'!K46</f>
        <v>0</v>
      </c>
      <c r="F46" s="48">
        <f>'🚜 Araç Havuzu'!L46</f>
        <v>0</v>
      </c>
      <c r="G46" s="9">
        <f>'🚜 Araç Havuzu'!M46</f>
        <v>0</v>
      </c>
      <c r="H46" s="9">
        <f>'🚜 Araç Havuzu'!N46</f>
        <v>0</v>
      </c>
    </row>
    <row r="47" spans="1:8" ht="16.5" customHeight="1" x14ac:dyDescent="0.3">
      <c r="A47" s="47">
        <f>'🚜 Araç Havuzu'!A47</f>
        <v>0</v>
      </c>
      <c r="B47" s="47">
        <f>'🚜 Araç Havuzu'!B47</f>
        <v>0</v>
      </c>
      <c r="C47" s="47">
        <f>'🚜 Araç Havuzu'!C47</f>
        <v>0</v>
      </c>
      <c r="D47" s="47">
        <f>'🚜 Araç Havuzu'!J47</f>
        <v>0</v>
      </c>
      <c r="E47" s="47">
        <f>'🚜 Araç Havuzu'!K47</f>
        <v>0</v>
      </c>
      <c r="F47" s="47">
        <f>'🚜 Araç Havuzu'!L47</f>
        <v>0</v>
      </c>
      <c r="G47" s="5">
        <f>'🚜 Araç Havuzu'!M47</f>
        <v>0</v>
      </c>
      <c r="H47" s="5">
        <f>'🚜 Araç Havuzu'!N47</f>
        <v>0</v>
      </c>
    </row>
    <row r="48" spans="1:8" ht="16.5" customHeight="1" x14ac:dyDescent="0.3">
      <c r="A48" s="48">
        <f>'🚜 Araç Havuzu'!A48</f>
        <v>0</v>
      </c>
      <c r="B48" s="48">
        <f>'🚜 Araç Havuzu'!B48</f>
        <v>0</v>
      </c>
      <c r="C48" s="48">
        <f>'🚜 Araç Havuzu'!C48</f>
        <v>0</v>
      </c>
      <c r="D48" s="48">
        <f>'🚜 Araç Havuzu'!J48</f>
        <v>0</v>
      </c>
      <c r="E48" s="48">
        <f>'🚜 Araç Havuzu'!K48</f>
        <v>0</v>
      </c>
      <c r="F48" s="48">
        <f>'🚜 Araç Havuzu'!L48</f>
        <v>0</v>
      </c>
      <c r="G48" s="9">
        <f>'🚜 Araç Havuzu'!M48</f>
        <v>0</v>
      </c>
      <c r="H48" s="9">
        <f>'🚜 Araç Havuzu'!N48</f>
        <v>0</v>
      </c>
    </row>
    <row r="49" spans="1:8" ht="16.5" customHeight="1" x14ac:dyDescent="0.3">
      <c r="A49" s="47">
        <f>'🚜 Araç Havuzu'!A49</f>
        <v>0</v>
      </c>
      <c r="B49" s="47">
        <f>'🚜 Araç Havuzu'!B49</f>
        <v>0</v>
      </c>
      <c r="C49" s="47">
        <f>'🚜 Araç Havuzu'!C49</f>
        <v>0</v>
      </c>
      <c r="D49" s="47">
        <f>'🚜 Araç Havuzu'!J49</f>
        <v>0</v>
      </c>
      <c r="E49" s="47">
        <f>'🚜 Araç Havuzu'!K49</f>
        <v>0</v>
      </c>
      <c r="F49" s="47">
        <f>'🚜 Araç Havuzu'!L49</f>
        <v>0</v>
      </c>
      <c r="G49" s="5">
        <f>'🚜 Araç Havuzu'!M49</f>
        <v>0</v>
      </c>
      <c r="H49" s="5">
        <f>'🚜 Araç Havuzu'!N49</f>
        <v>0</v>
      </c>
    </row>
    <row r="50" spans="1:8" ht="16.5" customHeight="1" x14ac:dyDescent="0.3">
      <c r="A50" s="48">
        <f>'🚜 Araç Havuzu'!A50</f>
        <v>0</v>
      </c>
      <c r="B50" s="48">
        <f>'🚜 Araç Havuzu'!B50</f>
        <v>0</v>
      </c>
      <c r="C50" s="48">
        <f>'🚜 Araç Havuzu'!C50</f>
        <v>0</v>
      </c>
      <c r="D50" s="48">
        <f>'🚜 Araç Havuzu'!J50</f>
        <v>0</v>
      </c>
      <c r="E50" s="48">
        <f>'🚜 Araç Havuzu'!K50</f>
        <v>0</v>
      </c>
      <c r="F50" s="48">
        <f>'🚜 Araç Havuzu'!L50</f>
        <v>0</v>
      </c>
      <c r="G50" s="9">
        <f>'🚜 Araç Havuzu'!M50</f>
        <v>0</v>
      </c>
      <c r="H50" s="9">
        <f>'🚜 Araç Havuzu'!N50</f>
        <v>0</v>
      </c>
    </row>
    <row r="51" spans="1:8" ht="16.5" customHeight="1" x14ac:dyDescent="0.3">
      <c r="A51" s="47">
        <f>'🚜 Araç Havuzu'!A51</f>
        <v>0</v>
      </c>
      <c r="B51" s="47">
        <f>'🚜 Araç Havuzu'!B51</f>
        <v>0</v>
      </c>
      <c r="C51" s="47">
        <f>'🚜 Araç Havuzu'!C51</f>
        <v>0</v>
      </c>
      <c r="D51" s="47">
        <f>'🚜 Araç Havuzu'!J51</f>
        <v>0</v>
      </c>
      <c r="E51" s="47">
        <f>'🚜 Araç Havuzu'!K51</f>
        <v>0</v>
      </c>
      <c r="F51" s="47">
        <f>'🚜 Araç Havuzu'!L51</f>
        <v>0</v>
      </c>
      <c r="G51" s="5">
        <f>'🚜 Araç Havuzu'!M51</f>
        <v>0</v>
      </c>
      <c r="H51" s="5">
        <f>'🚜 Araç Havuzu'!N51</f>
        <v>0</v>
      </c>
    </row>
    <row r="52" spans="1:8" ht="16.5" customHeight="1" x14ac:dyDescent="0.3">
      <c r="A52" s="48">
        <f>'🚜 Araç Havuzu'!A52</f>
        <v>0</v>
      </c>
      <c r="B52" s="48">
        <f>'🚜 Araç Havuzu'!B52</f>
        <v>0</v>
      </c>
      <c r="C52" s="48">
        <f>'🚜 Araç Havuzu'!C52</f>
        <v>0</v>
      </c>
      <c r="D52" s="48">
        <f>'🚜 Araç Havuzu'!J52</f>
        <v>0</v>
      </c>
      <c r="E52" s="48">
        <f>'🚜 Araç Havuzu'!K52</f>
        <v>0</v>
      </c>
      <c r="F52" s="48">
        <f>'🚜 Araç Havuzu'!L52</f>
        <v>0</v>
      </c>
      <c r="G52" s="9">
        <f>'🚜 Araç Havuzu'!M52</f>
        <v>0</v>
      </c>
      <c r="H52" s="9">
        <f>'🚜 Araç Havuzu'!N52</f>
        <v>0</v>
      </c>
    </row>
    <row r="53" spans="1:8" ht="16.5" customHeight="1" x14ac:dyDescent="0.3">
      <c r="A53" s="47">
        <f>'🚜 Araç Havuzu'!A53</f>
        <v>0</v>
      </c>
      <c r="B53" s="47">
        <f>'🚜 Araç Havuzu'!B53</f>
        <v>0</v>
      </c>
      <c r="C53" s="47">
        <f>'🚜 Araç Havuzu'!C53</f>
        <v>0</v>
      </c>
      <c r="D53" s="47">
        <f>'🚜 Araç Havuzu'!J53</f>
        <v>0</v>
      </c>
      <c r="E53" s="47">
        <f>'🚜 Araç Havuzu'!K53</f>
        <v>0</v>
      </c>
      <c r="F53" s="47">
        <f>'🚜 Araç Havuzu'!L53</f>
        <v>0</v>
      </c>
      <c r="G53" s="5">
        <f>'🚜 Araç Havuzu'!M53</f>
        <v>0</v>
      </c>
      <c r="H53" s="5">
        <f>'🚜 Araç Havuzu'!N53</f>
        <v>0</v>
      </c>
    </row>
    <row r="54" spans="1:8" ht="16.5" customHeight="1" x14ac:dyDescent="0.3">
      <c r="A54" s="48">
        <f>'🚜 Araç Havuzu'!A54</f>
        <v>0</v>
      </c>
      <c r="B54" s="48">
        <f>'🚜 Araç Havuzu'!B54</f>
        <v>0</v>
      </c>
      <c r="C54" s="48">
        <f>'🚜 Araç Havuzu'!C54</f>
        <v>0</v>
      </c>
      <c r="D54" s="48">
        <f>'🚜 Araç Havuzu'!J54</f>
        <v>0</v>
      </c>
      <c r="E54" s="48">
        <f>'🚜 Araç Havuzu'!K54</f>
        <v>0</v>
      </c>
      <c r="F54" s="48">
        <f>'🚜 Araç Havuzu'!L54</f>
        <v>0</v>
      </c>
      <c r="G54" s="9">
        <f>'🚜 Araç Havuzu'!M54</f>
        <v>0</v>
      </c>
      <c r="H54" s="9">
        <f>'🚜 Araç Havuzu'!N54</f>
        <v>0</v>
      </c>
    </row>
    <row r="57" spans="1:8" ht="21.75" customHeight="1" x14ac:dyDescent="0.3">
      <c r="A57" s="60" t="s">
        <v>107</v>
      </c>
      <c r="B57" s="60"/>
      <c r="C57" s="60"/>
      <c r="D57" s="60"/>
      <c r="E57" s="60"/>
      <c r="F57" s="60"/>
      <c r="G57" s="60"/>
      <c r="H57" s="60"/>
    </row>
    <row r="58" spans="1:8" ht="15" customHeight="1" x14ac:dyDescent="0.3">
      <c r="A58" s="61" t="s">
        <v>108</v>
      </c>
      <c r="B58" s="61"/>
      <c r="C58" s="62" t="s">
        <v>109</v>
      </c>
      <c r="D58" s="62"/>
      <c r="E58" s="63" t="s">
        <v>110</v>
      </c>
      <c r="F58" s="63"/>
      <c r="G58" s="64" t="s">
        <v>111</v>
      </c>
      <c r="H58" s="64"/>
    </row>
    <row r="59" spans="1:8" ht="36" customHeight="1" x14ac:dyDescent="0.3">
      <c r="A59" s="65">
        <f>COUNTIF('🚜 Araç Havuzu'!J:J,"✅ Müsait")</f>
        <v>0</v>
      </c>
      <c r="B59" s="65"/>
      <c r="C59" s="66">
        <f>COUNTIF('🚜 Araç Havuzu'!J:J,"🔴 Görevde")</f>
        <v>0</v>
      </c>
      <c r="D59" s="66"/>
      <c r="E59" s="67">
        <f>COUNTIF('🚜 Araç Havuzu'!J:J,"🔧 Bakımda")</f>
        <v>0</v>
      </c>
      <c r="F59" s="67"/>
      <c r="G59" s="68">
        <f>COUNTIF('🚜 Araç Havuzu'!J:J,"⛔ Arızalı")</f>
        <v>0</v>
      </c>
      <c r="H59" s="68"/>
    </row>
    <row r="60" spans="1:8" ht="21.75" customHeight="1" x14ac:dyDescent="0.3">
      <c r="A60" s="60" t="str">
        <f>"Toplam Araç: "&amp;COUNTA('🚜 Araç Havuzu'!A5:A500)&amp;" adet"</f>
        <v>Toplam Araç: 0 adet</v>
      </c>
      <c r="B60" s="60"/>
      <c r="C60" s="60"/>
      <c r="D60" s="60"/>
      <c r="E60" s="60"/>
      <c r="F60" s="60"/>
      <c r="G60" s="60"/>
      <c r="H60" s="60"/>
    </row>
  </sheetData>
  <mergeCells count="13">
    <mergeCell ref="A59:B59"/>
    <mergeCell ref="C59:D59"/>
    <mergeCell ref="E59:F59"/>
    <mergeCell ref="G59:H59"/>
    <mergeCell ref="A60:H60"/>
    <mergeCell ref="A1:H1"/>
    <mergeCell ref="A2:H2"/>
    <mergeCell ref="A3:D3"/>
    <mergeCell ref="A57:H57"/>
    <mergeCell ref="A58:B58"/>
    <mergeCell ref="C58:D58"/>
    <mergeCell ref="E58:F58"/>
    <mergeCell ref="G58:H58"/>
  </mergeCells>
  <conditionalFormatting sqref="D5:D100">
    <cfRule type="expression" dxfId="3" priority="2">
      <formula>D5="✅ Müsait"</formula>
    </cfRule>
    <cfRule type="expression" dxfId="2" priority="3">
      <formula>D5="🔴 Görevde"</formula>
    </cfRule>
    <cfRule type="expression" dxfId="1" priority="4">
      <formula>D5="🔧 Bakımda"</formula>
    </cfRule>
    <cfRule type="expression" dxfId="0" priority="5">
      <formula>D5="⛔ Arızalı"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🚜 Araç Havuzu</vt:lpstr>
      <vt:lpstr>📋 Görev Formu</vt:lpstr>
      <vt:lpstr>🕐 Çıkış-Giriş Takip</vt:lpstr>
      <vt:lpstr>📊 Müdürlük Özeti</vt:lpstr>
      <vt:lpstr>🟢 Durum Paneli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Kadim</cp:lastModifiedBy>
  <cp:revision>1</cp:revision>
  <dcterms:created xsi:type="dcterms:W3CDTF">2026-06-23T10:32:28Z</dcterms:created>
  <dcterms:modified xsi:type="dcterms:W3CDTF">2026-07-13T06:13:02Z</dcterms:modified>
  <cp:category/>
  <cp:contentStatus/>
</cp:coreProperties>
</file>